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drawings/drawing1.xml" ContentType="application/vnd.openxmlformats-officedocument.drawing+xml"/>
  <Override PartName="/xl/comments3.xml" ContentType="application/vnd.openxmlformats-officedocument.spreadsheetml.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Metadata/LabelInfo.xml" ContentType="application/vnd.ms-office.classificationlabel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microsoft.com/office/2011/relationships/webextensiontaskpanes" Target="xl/webextensions/taskpanes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extended-properties" Target="docProps/app.xml"/><Relationship Id="rId4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hildrensmercy-my.sharepoint.com/personal/yxu_cmh_edu/Documents/2026-RNA Synthesis/"/>
    </mc:Choice>
  </mc:AlternateContent>
  <xr:revisionPtr revIDLastSave="25" documentId="14_{5955BA09-BD5D-C74E-9544-17430C43E248}" xr6:coauthVersionLast="47" xr6:coauthVersionMax="47" xr10:uidLastSave="{7A4B21E0-A06A-2148-9ED0-9D2708329958}"/>
  <bookViews>
    <workbookView xWindow="51180" yWindow="600" windowWidth="51200" windowHeight="28200" xr2:uid="{C5144AEE-B652-864F-920B-0B01598BA43D}"/>
  </bookViews>
  <sheets>
    <sheet name="材料清单" sheetId="1" r:id="rId1"/>
    <sheet name="配方计算" sheetId="2" r:id="rId2"/>
    <sheet name="配制步骤与使用" sheetId="3" r:id="rId3"/>
    <sheet name="仪器耗材" sheetId="4" r:id="rId4"/>
    <sheet name="成本核算" sheetId="6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7" i="6" l="1"/>
  <c r="A7" i="6"/>
  <c r="C6" i="6"/>
  <c r="H38" i="6"/>
  <c r="I38" i="6"/>
  <c r="B37" i="6"/>
  <c r="C37" i="6"/>
  <c r="D37" i="6"/>
  <c r="E37" i="6" s="1" a="1"/>
  <c r="E37" i="6" s="1"/>
  <c r="H37" i="6" s="1"/>
  <c r="F37" i="6"/>
  <c r="G37" i="6"/>
  <c r="P23" i="1"/>
  <c r="P22" i="1"/>
  <c r="I37" i="6" l="1"/>
  <c r="J37" i="6"/>
  <c r="A3" i="3"/>
  <c r="B14" i="6"/>
  <c r="B12" i="6"/>
  <c r="B20" i="3"/>
  <c r="B13" i="6"/>
  <c r="B21" i="3"/>
  <c r="A19" i="3"/>
  <c r="B17" i="3"/>
  <c r="B6" i="3"/>
  <c r="E30" i="2"/>
  <c r="E28" i="2"/>
  <c r="E29" i="2" s="1"/>
  <c r="B24" i="3"/>
  <c r="B23" i="3"/>
  <c r="B22" i="3"/>
  <c r="B6" i="2"/>
  <c r="B7" i="2"/>
  <c r="C43" i="6" a="1"/>
  <c r="C43" i="6" s="1"/>
  <c r="B36" i="6"/>
  <c r="C36" i="6"/>
  <c r="D36" i="6"/>
  <c r="E36" i="6" s="1" a="1"/>
  <c r="E36" i="6" s="1"/>
  <c r="G36" i="6"/>
  <c r="B35" i="6"/>
  <c r="C35" i="6"/>
  <c r="D35" i="6"/>
  <c r="E35" i="6" s="1" a="1"/>
  <c r="E35" i="6" s="1"/>
  <c r="G35" i="6"/>
  <c r="B34" i="6"/>
  <c r="C34" i="6"/>
  <c r="D34" i="6"/>
  <c r="E34" i="6" s="1" a="1"/>
  <c r="E34" i="6" s="1"/>
  <c r="C42" i="6" s="1"/>
  <c r="G34" i="6"/>
  <c r="B33" i="6"/>
  <c r="C33" i="6"/>
  <c r="D33" i="6"/>
  <c r="E33" i="6" s="1" a="1"/>
  <c r="E33" i="6" s="1"/>
  <c r="G33" i="6"/>
  <c r="B32" i="6"/>
  <c r="C32" i="6"/>
  <c r="D32" i="6"/>
  <c r="E32" i="6" s="1" a="1"/>
  <c r="E32" i="6" s="1"/>
  <c r="G32" i="6"/>
  <c r="B31" i="6"/>
  <c r="C31" i="6"/>
  <c r="D31" i="6"/>
  <c r="E31" i="6" s="1" a="1"/>
  <c r="E31" i="6" s="1"/>
  <c r="G31" i="6"/>
  <c r="B30" i="6"/>
  <c r="C30" i="6"/>
  <c r="D30" i="6"/>
  <c r="E30" i="6" s="1" a="1"/>
  <c r="E30" i="6" s="1"/>
  <c r="G30" i="6"/>
  <c r="B29" i="6"/>
  <c r="C29" i="6"/>
  <c r="D29" i="6"/>
  <c r="E29" i="6" s="1" a="1"/>
  <c r="E29" i="6" s="1"/>
  <c r="G29" i="6"/>
  <c r="B28" i="6"/>
  <c r="C28" i="6"/>
  <c r="D28" i="6"/>
  <c r="E28" i="6" s="1" a="1"/>
  <c r="E28" i="6" s="1"/>
  <c r="F28" i="6"/>
  <c r="G28" i="6"/>
  <c r="A23" i="6"/>
  <c r="C22" i="6"/>
  <c r="C21" i="6"/>
  <c r="C20" i="6"/>
  <c r="E7" i="6"/>
  <c r="I16" i="2" a="1"/>
  <c r="I16" i="2" s="1"/>
  <c r="P12" i="1"/>
  <c r="I18" i="2" a="1"/>
  <c r="I18" i="2" s="1"/>
  <c r="I17" i="2" a="1"/>
  <c r="I17" i="2" s="1"/>
  <c r="P14" i="1"/>
  <c r="I4" i="2"/>
  <c r="J4" i="2" s="1"/>
  <c r="I27" i="2" a="1"/>
  <c r="I27" i="2" s="1"/>
  <c r="I15" i="2" a="1"/>
  <c r="I15" i="2" s="1"/>
  <c r="I14" i="2" a="1"/>
  <c r="I14" i="2" s="1"/>
  <c r="I13" i="2" a="1"/>
  <c r="I13" i="2" s="1"/>
  <c r="I12" i="2" a="1"/>
  <c r="I12" i="2" s="1"/>
  <c r="P17" i="1"/>
  <c r="P15" i="1"/>
  <c r="P13" i="1"/>
  <c r="P11" i="1"/>
  <c r="P10" i="1"/>
  <c r="P9" i="1"/>
  <c r="P8" i="1"/>
  <c r="P7" i="1"/>
  <c r="P5" i="1"/>
  <c r="B27" i="2"/>
  <c r="G27" i="2" s="1"/>
  <c r="E27" i="2"/>
  <c r="E20" i="6" l="1"/>
  <c r="E22" i="6"/>
  <c r="E21" i="6"/>
  <c r="E7" i="2"/>
  <c r="B23" i="2" s="1"/>
  <c r="H28" i="6"/>
  <c r="B46" i="6"/>
  <c r="B18" i="3" l="1"/>
  <c r="B15" i="3"/>
  <c r="B16" i="3"/>
  <c r="F21" i="6"/>
  <c r="F22" i="6"/>
  <c r="F20" i="6"/>
  <c r="B1" i="3"/>
  <c r="H5" i="2"/>
  <c r="F27" i="2"/>
  <c r="B14" i="3" s="1"/>
  <c r="E4" i="2"/>
  <c r="E8" i="2" l="1"/>
  <c r="B4" i="3"/>
  <c r="J27" i="2"/>
  <c r="F36" i="6"/>
  <c r="H36" i="6" s="1"/>
  <c r="B15" i="6"/>
  <c r="B23" i="6" l="1"/>
  <c r="F23" i="6" s="1"/>
  <c r="G7" i="6"/>
  <c r="I36" i="6"/>
  <c r="I28" i="6"/>
  <c r="E23" i="6"/>
  <c r="C23" i="6"/>
  <c r="E6" i="2"/>
  <c r="B10" i="2" s="1"/>
  <c r="B12" i="3" s="1"/>
  <c r="E18" i="2" l="1"/>
  <c r="F35" i="6" s="1"/>
  <c r="H35" i="6" s="1"/>
  <c r="E31" i="2"/>
  <c r="E12" i="2"/>
  <c r="B8" i="3" s="1"/>
  <c r="E13" i="2"/>
  <c r="J13" i="2" s="1"/>
  <c r="E16" i="2"/>
  <c r="B43" i="6"/>
  <c r="D43" i="6" s="1"/>
  <c r="E43" i="6" s="1"/>
  <c r="E14" i="2"/>
  <c r="E17" i="2"/>
  <c r="J18" i="2"/>
  <c r="E15" i="2"/>
  <c r="E19" i="2"/>
  <c r="B10" i="3" l="1"/>
  <c r="B11" i="3"/>
  <c r="J14" i="2"/>
  <c r="F30" i="6"/>
  <c r="H30" i="6" s="1"/>
  <c r="I30" i="6" s="1"/>
  <c r="F31" i="6"/>
  <c r="H31" i="6" s="1"/>
  <c r="I31" i="6" s="1"/>
  <c r="J12" i="2"/>
  <c r="F29" i="6"/>
  <c r="H29" i="6" s="1"/>
  <c r="I29" i="6" s="1"/>
  <c r="J17" i="2"/>
  <c r="F34" i="6"/>
  <c r="F33" i="6"/>
  <c r="H33" i="6" s="1"/>
  <c r="I33" i="6" s="1"/>
  <c r="J16" i="2"/>
  <c r="B9" i="3"/>
  <c r="I35" i="6"/>
  <c r="F32" i="6"/>
  <c r="H32" i="6" s="1"/>
  <c r="J15" i="2"/>
  <c r="B42" i="6" l="1"/>
  <c r="H34" i="6"/>
  <c r="I32" i="6"/>
  <c r="I34" i="6" l="1"/>
  <c r="A6" i="6" s="1"/>
  <c r="D21" i="6" s="1"/>
  <c r="G21" i="6" s="1"/>
  <c r="D42" i="6"/>
  <c r="D20" i="6" l="1"/>
  <c r="G20" i="6" s="1"/>
  <c r="E6" i="6"/>
  <c r="D22" i="6"/>
  <c r="G22" i="6" s="1"/>
  <c r="J30" i="6"/>
  <c r="J35" i="6"/>
  <c r="J31" i="6"/>
  <c r="J36" i="6"/>
  <c r="J29" i="6"/>
  <c r="J32" i="6"/>
  <c r="J28" i="6"/>
  <c r="J33" i="6"/>
  <c r="J34" i="6"/>
  <c r="D23" i="6"/>
  <c r="G23" i="6" s="1"/>
  <c r="G6" i="6" s="1"/>
  <c r="E42" i="6"/>
  <c r="E44" i="6" s="1"/>
  <c r="D44" i="6"/>
  <c r="J38" i="6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YUE</author>
  </authors>
  <commentList>
    <comment ref="G5" authorId="0" shapeId="0" xr:uid="{E6CCB76D-D1DA-764B-9D24-20017A607078}">
      <text>
        <r>
          <rPr>
            <b/>
            <sz val="10"/>
            <color rgb="FF000000"/>
            <rFont val="Tahoma"/>
            <family val="2"/>
          </rPr>
          <t>Source: Promega Glo Lysis Buffer, 1X product page, https://www.promega.com/products/luciferase-assays/reporter-assays/glo-lysis-buffer-1x/</t>
        </r>
      </text>
    </comment>
    <comment ref="I5" authorId="0" shapeId="0" xr:uid="{F77F009D-761C-104A-9BFD-112B2756C3DC}">
      <text>
        <r>
          <rPr>
            <b/>
            <sz val="10"/>
            <color rgb="FF000000"/>
            <rFont val="Tahoma"/>
            <family val="2"/>
          </rPr>
          <t>Source: Promega Glo Lysis Buffer protocol, https://www.promega.com/resources/protocols/product-information-sheets/a/glo-lysis-buffer-protocol/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YUE</author>
  </authors>
  <commentList>
    <comment ref="B5" authorId="0" shapeId="0" xr:uid="{172B764A-FAD6-A944-989C-62C2CB748304}">
      <text>
        <r>
          <rPr>
            <b/>
            <sz val="10"/>
            <color rgb="FF000000"/>
            <rFont val="Tahoma"/>
            <family val="2"/>
          </rPr>
          <t>YUE:</t>
        </r>
        <r>
          <rPr>
            <sz val="10"/>
            <color rgb="FF000000"/>
            <rFont val="Tahoma"/>
            <family val="2"/>
          </rPr>
          <t xml:space="preserve">
Source: Promega Glo Lysis Buffer, 1X (E2661) 产品说明 Storage Conditions："For long-term storage, Glo Lysis Buffer can be frozen at –20°C or –70°C." 由用户粘贴到对话中，2026-09-23。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YUE</author>
  </authors>
  <commentList>
    <comment ref="B10" authorId="0" shapeId="0" xr:uid="{5CDA1265-2AD8-7948-B4CF-6CA71E2D5761}">
      <text>
        <r>
          <rPr>
            <b/>
            <sz val="10"/>
            <color rgb="FF000000"/>
            <rFont val="Tahoma"/>
            <family val="2"/>
          </rPr>
          <t>YUE:</t>
        </r>
        <r>
          <rPr>
            <sz val="10"/>
            <color rgb="FF000000"/>
            <rFont val="Tahoma"/>
            <family val="2"/>
          </rPr>
          <t xml:space="preserve">
价格 $1,178 为用户填写。参考：Fisher Scientific 标价 $1,889（非合同价），PRE6120 / Promega E6120, https://www.fishersci.com/shop/products/promega-one-glo-luciferase-assay-system-100ml/pre6120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<sst xmlns="http://schemas.openxmlformats.org/spreadsheetml/2006/main" count="383" uniqueCount="297">
  <si>
    <t>Luciferase Assay Kit 自制 — 试剂材料清单</t>
  </si>
  <si>
    <t>序号</t>
  </si>
  <si>
    <t>材料名称</t>
  </si>
  <si>
    <t>英文名 / 规格</t>
  </si>
  <si>
    <t>CAS 号</t>
  </si>
  <si>
    <t>纯度要求</t>
  </si>
  <si>
    <t>用于</t>
  </si>
  <si>
    <t>储存条件</t>
  </si>
  <si>
    <t>备注</t>
  </si>
  <si>
    <t>A</t>
  </si>
  <si>
    <t>室温</t>
  </si>
  <si>
    <t>溶液易氧化，建议分装冻存</t>
  </si>
  <si>
    <t>分子生物学级</t>
  </si>
  <si>
    <t>氢氧化钠</t>
  </si>
  <si>
    <t>Sodium hydroxide</t>
  </si>
  <si>
    <t>1310-73-2</t>
  </si>
  <si>
    <t>AR 级</t>
  </si>
  <si>
    <t>室温，密封</t>
  </si>
  <si>
    <t>B</t>
  </si>
  <si>
    <t>萤光素酶检测缓冲液 (Luciferase Assay Buffer)</t>
  </si>
  <si>
    <t>Tricine</t>
  </si>
  <si>
    <t>≥99%</t>
  </si>
  <si>
    <t>缓冲体系 pH 7.8</t>
  </si>
  <si>
    <t>碱式碳酸镁（五水）</t>
  </si>
  <si>
    <t>39409-82-0</t>
  </si>
  <si>
    <t>Mg2+ 来源</t>
  </si>
  <si>
    <t>在 Tricine 溶液中缓慢溶解并放出 CO2</t>
  </si>
  <si>
    <t>硫酸镁（七水）</t>
  </si>
  <si>
    <t>10034-99-8</t>
  </si>
  <si>
    <t>EDTA 二钠（二水）</t>
  </si>
  <si>
    <t>6381-92-6</t>
  </si>
  <si>
    <t>螯合杂质金属</t>
  </si>
  <si>
    <t>18439-24-2</t>
  </si>
  <si>
    <t>≥93%</t>
  </si>
  <si>
    <t>延长发光（辉光型），提高信号稳定性</t>
  </si>
  <si>
    <t>-20 °C，干燥</t>
  </si>
  <si>
    <t>价格较高；按标签 MW 修正称量</t>
  </si>
  <si>
    <t>ATP 二钠盐</t>
  </si>
  <si>
    <t>34369-07-8</t>
  </si>
  <si>
    <t>反应能量来源</t>
  </si>
  <si>
    <t>溶液 pH 偏酸，配好后需复核 pH</t>
  </si>
  <si>
    <t>C</t>
  </si>
  <si>
    <t>萤光素酶检测底物 (Luciferase Assay Substrate, 冻干)</t>
  </si>
  <si>
    <t>115144-35-9</t>
  </si>
  <si>
    <t>发光核心底物</t>
  </si>
  <si>
    <t>-20 °C 或 -80 °C，避光、干燥、充氩/氮</t>
  </si>
  <si>
    <t>易溶于水，适合直接分装冻干</t>
  </si>
  <si>
    <t>D</t>
  </si>
  <si>
    <t>通用 / 辅助试剂</t>
  </si>
  <si>
    <t>超纯水</t>
  </si>
  <si>
    <t>Milli-Q water / Nuclease-free water</t>
  </si>
  <si>
    <t>7732-18-5</t>
  </si>
  <si>
    <t>18.2 MΩ·cm</t>
  </si>
  <si>
    <t>所有溶液配制</t>
  </si>
  <si>
    <t>—</t>
  </si>
  <si>
    <t>配方计算 — 修改蓝色输入值，称量量自动计算</t>
  </si>
  <si>
    <t>计算：质量 (mg) = 浓度 (mM) × 体积 (mL) × 分子量 (g/mol) ÷ 1000；% v/v 组分按体积计算并折算质量。分子量请按实际购买批次标签修正。</t>
  </si>
  <si>
    <t>配制体积 (mL)</t>
  </si>
  <si>
    <t>组分</t>
  </si>
  <si>
    <t>单位</t>
  </si>
  <si>
    <t>mM</t>
  </si>
  <si>
    <t>mg</t>
  </si>
  <si>
    <t>mL</t>
  </si>
  <si>
    <t>定容至</t>
  </si>
  <si>
    <t>② 萤光素酶检测缓冲液（Luciferase Assay Buffer, 1X，含 ATP / Mg2+ / CoA）</t>
  </si>
  <si>
    <t>终浓度</t>
  </si>
  <si>
    <t>分子量 (g/mol)</t>
  </si>
  <si>
    <t>第 1 步溶解</t>
  </si>
  <si>
    <t>碱式碳酸镁五水 (MgCO3)4Mg(OH)2·5H2O</t>
  </si>
  <si>
    <t>在 Tricine 中搅拌至澄清</t>
  </si>
  <si>
    <t>MgSO4·7H2O</t>
  </si>
  <si>
    <t>EDTA 二钠二水</t>
  </si>
  <si>
    <t>调好 pH 后加入</t>
  </si>
  <si>
    <t>ATP 二钠盐（无水计）</t>
  </si>
  <si>
    <t>最后加入，复核 pH 7.8</t>
  </si>
  <si>
    <t>目标 pH</t>
  </si>
  <si>
    <t>用 NaOH / HCl 微调</t>
  </si>
  <si>
    <t>终浓度 (mM)</t>
  </si>
  <si>
    <t>总称量 (mg)</t>
  </si>
  <si>
    <t>配制步骤、使用方法与质控</t>
  </si>
  <si>
    <t>步骤</t>
  </si>
  <si>
    <t>操作说明</t>
  </si>
  <si>
    <t>② 萤光素酶检测缓冲液</t>
  </si>
  <si>
    <t>仪器与耗材清单</t>
  </si>
  <si>
    <t>类别</t>
  </si>
  <si>
    <t>名称</t>
  </si>
  <si>
    <t>用途 / 要求</t>
  </si>
  <si>
    <t>仪器</t>
  </si>
  <si>
    <t>化学发光检测仪 / 多功能酶标仪</t>
  </si>
  <si>
    <t>带发光模块，最好配自动进样器</t>
  </si>
  <si>
    <t>分析天平（0.1 mg / 0.01 mg）</t>
  </si>
  <si>
    <t>称量 CoA、ATP、萤光素等微量组分</t>
  </si>
  <si>
    <t>pH 计</t>
  </si>
  <si>
    <t>需要准确调至 pH 7.8</t>
  </si>
  <si>
    <t>磁力搅拌器</t>
  </si>
  <si>
    <t>溶解试剂</t>
  </si>
  <si>
    <t>真空冷冻干燥机</t>
  </si>
  <si>
    <t>冻干底物；可选，没有时改为 -80 °C 冻存</t>
  </si>
  <si>
    <t>-80 °C 与 -20 °C 冰箱</t>
  </si>
  <si>
    <t>保存试剂</t>
  </si>
  <si>
    <t>水平摇床、微量离心机、移液器</t>
  </si>
  <si>
    <t>裂解与加样</t>
  </si>
  <si>
    <t>耗材</t>
  </si>
  <si>
    <t>白色不透明 96 孔板</t>
  </si>
  <si>
    <t>发光检测（降低串扰），细胞培养可用透明板</t>
  </si>
  <si>
    <t>0.22 µm 针头式滤器 / 真空滤杯</t>
  </si>
  <si>
    <t>过滤除菌</t>
  </si>
  <si>
    <t>棕色 EP 管 / 冻干瓶（西林瓶+胶塞）</t>
  </si>
  <si>
    <t>避光分装</t>
  </si>
  <si>
    <t>细胞刮、离心管、吸头</t>
  </si>
  <si>
    <t>常规</t>
  </si>
  <si>
    <t>氩气或氮气</t>
  </si>
  <si>
    <t>冻干瓶充惰性气体保护萤光素</t>
  </si>
  <si>
    <t>美国供应商</t>
  </si>
  <si>
    <t>Promega GloMax；Molecular Devices；Agilent BioTek</t>
  </si>
  <si>
    <t>Mettler Toledo；Ohaus</t>
  </si>
  <si>
    <t>Mettler Toledo；Thermo Scientific Orion</t>
  </si>
  <si>
    <t>Thermo Scientific；Corning；IKA（美国分部）</t>
  </si>
  <si>
    <t>Labconco；SP Scientific (VirTis)</t>
  </si>
  <si>
    <t>Thermo Scientific；PHCbi；Stirling Ultracold</t>
  </si>
  <si>
    <t>Eppendorf；Gilson；Rainin；Thermo Scientific</t>
  </si>
  <si>
    <t>Corning (Costar)；Greiner Bio-One；Revvity</t>
  </si>
  <si>
    <t>MilliporeSigma；Pall；Thermo Nalgene</t>
  </si>
  <si>
    <t>Eppendorf；Axygen (Corning)；DWK Wheaton（冻干瓶）</t>
  </si>
  <si>
    <t>Corning；Fisher Scientific；VWR</t>
  </si>
  <si>
    <t>Airgas；Praxair/Linde</t>
  </si>
  <si>
    <t>细胞裂解液 (Cell Lysis Buffer) — 直接购买成品</t>
  </si>
  <si>
    <t>商品试剂</t>
  </si>
  <si>
    <t>检测缓冲液还原剂</t>
  </si>
  <si>
    <t>调 pH / 游离酸萤光素助溶</t>
  </si>
  <si>
    <t>Glo Lysis Buffer, 1X (GLB)</t>
  </si>
  <si>
    <t>细胞裂解；1X 即用，无需稀释</t>
  </si>
  <si>
    <t>4 °C（最长可稳定保存 6 个月）</t>
  </si>
  <si>
    <t>余量</t>
  </si>
  <si>
    <t>5分钟快速裂解，无需刮细胞或冻融；萤火虫萤光素酶在 GLB 中室温稳定 ≥48 小时</t>
  </si>
  <si>
    <t>≥97%</t>
  </si>
  <si>
    <t>2-8 °C 或 -20 °C，干燥</t>
  </si>
  <si>
    <t>GLB 使用量 (mL)</t>
  </si>
  <si>
    <t>可检测孔数</t>
  </si>
  <si>
    <t>约合 96 孔板数</t>
  </si>
  <si>
    <t>孔</t>
  </si>
  <si>
    <t>块</t>
  </si>
  <si>
    <t>自动联动 ① 所需检测缓冲液</t>
  </si>
  <si>
    <t>所需检测缓冲液</t>
  </si>
  <si>
    <t>注：已按实际采购记录更新（采购行号、供应商货号、包装、数量、单价）。分子量请按实际批次标签核对。</t>
  </si>
  <si>
    <t>供应商货号（实际采购）</t>
  </si>
  <si>
    <t>采购行号</t>
  </si>
  <si>
    <t>包装量</t>
  </si>
  <si>
    <t>包装单位</t>
  </si>
  <si>
    <t>采购数量</t>
  </si>
  <si>
    <t>UOM</t>
  </si>
  <si>
    <t>单价 ($)</t>
  </si>
  <si>
    <t>小计 ($)</t>
  </si>
  <si>
    <t>PAE2661</t>
  </si>
  <si>
    <t>EA</t>
  </si>
  <si>
    <t>TS32783-1000</t>
  </si>
  <si>
    <t>g</t>
  </si>
  <si>
    <t>TS44804-5000</t>
  </si>
  <si>
    <t>AAAA14491-0B</t>
  </si>
  <si>
    <t>kg</t>
  </si>
  <si>
    <t>TS32720-1000</t>
  </si>
  <si>
    <t>PAV3151</t>
  </si>
  <si>
    <t>80051-106</t>
  </si>
  <si>
    <t>80050-122</t>
  </si>
  <si>
    <t>77567-368</t>
  </si>
  <si>
    <t>Glo Lysis Buffer, 1X, 100 mL</t>
  </si>
  <si>
    <t>99+%</t>
  </si>
  <si>
    <t>Magnesium carbonate hydroxide pentahydrate, 500 g</t>
  </si>
  <si>
    <t>Magnesium sulfate heptahydrate, 1 kg</t>
  </si>
  <si>
    <t>98+%</t>
  </si>
  <si>
    <t>EDTA disodium salt dihydrate, 100 g</t>
  </si>
  <si>
    <t>DTT (Dithiothreitol), 5 g</t>
  </si>
  <si>
    <t>Coenzyme A trilithium salt, 100 mg</t>
  </si>
  <si>
    <t>Adenosine 5'-triphosphate (ATP), 5 g</t>
  </si>
  <si>
    <t>D-萤光素钾盐</t>
  </si>
  <si>
    <t>D-Luciferin, potassium salt, 5 g</t>
  </si>
  <si>
    <t>Tricine (N-[Tris(hydroxymethyl)methyl]glycine), 100 g</t>
  </si>
  <si>
    <t>本次未采购，使用实验室现有</t>
  </si>
  <si>
    <t>采购合计</t>
  </si>
  <si>
    <t>已购量 (mg)</t>
  </si>
  <si>
    <t>库存是否够用</t>
  </si>
  <si>
    <t>已购 GLB (mL)</t>
  </si>
  <si>
    <t>7a</t>
  </si>
  <si>
    <t>辅酶 A 三锂盐（VWR，备用/对照）</t>
  </si>
  <si>
    <t>7b</t>
  </si>
  <si>
    <t>辅酶 A 游离酸（Ambeed，主用）</t>
  </si>
  <si>
    <t>Coenzyme A (free acid), 1 g</t>
  </si>
  <si>
    <t>85-61-0</t>
  </si>
  <si>
    <t>按标签（建议 ≥90% HPLC）</t>
  </si>
  <si>
    <t>A148168</t>
  </si>
  <si>
    <t>-20 °C，干燥，密封防潮</t>
  </si>
  <si>
    <t>游离酸偏酸，加入缓冲液后复核 pH 7.8；易吸潮氧化，建议分装</t>
  </si>
  <si>
    <t>追加1</t>
  </si>
  <si>
    <t>ATP 二钠盐（VWR）</t>
  </si>
  <si>
    <t>按标签</t>
  </si>
  <si>
    <t>追加2</t>
  </si>
  <si>
    <t>辅酶 A 游离酸（Ambeed）</t>
  </si>
  <si>
    <t>调好 pH 后加入；游离酸偏酸，加入后复核 pH 7.8；按标签 MW/纯度修正</t>
  </si>
  <si>
    <t>本批可检测孔数</t>
  </si>
  <si>
    <t>VWR CoA 三锂盐分子量 (g/mol)</t>
  </si>
  <si>
    <t>单位成本 ($/mg 或 $/mL)</t>
  </si>
  <si>
    <t>本批用量</t>
  </si>
  <si>
    <t>本批成本 ($)</t>
  </si>
  <si>
    <t>每孔成本 ($)</t>
  </si>
  <si>
    <t>成本占比</t>
  </si>
  <si>
    <t>Glo Lysis Buffer (GLB)</t>
  </si>
  <si>
    <t>碱式碳酸镁五水</t>
  </si>
  <si>
    <t>合计</t>
  </si>
  <si>
    <t>累计采购支出 ($)</t>
  </si>
  <si>
    <t>6a</t>
  </si>
  <si>
    <t>DTT（Promega）</t>
  </si>
  <si>
    <t>6b</t>
  </si>
  <si>
    <t>DTT（Ambeed，主用）</t>
  </si>
  <si>
    <t>DL-Dithiothreitol, 25 g</t>
  </si>
  <si>
    <t>DTT（优先用 Ambeed）</t>
  </si>
  <si>
    <t>DTT（Ambeed）</t>
  </si>
  <si>
    <t>3483-12-3</t>
  </si>
  <si>
    <t>5704-04-1</t>
  </si>
  <si>
    <t>成本核算 — 自制萤光素酶检测试剂 vs Promega ONE-Glo</t>
  </si>
  <si>
    <t>蓝色 = 可修改输入；绿色 = 引用其他工作表；黑色 = 公式。自制成本按实际消耗量折算，不含人工、设备和未用完的包装。</t>
  </si>
  <si>
    <t>① 结论一览</t>
  </si>
  <si>
    <t>自制 · 每孔成本</t>
  </si>
  <si>
    <t>ONE-Glo · 每孔成本</t>
  </si>
  <si>
    <t>ONE-Glo 是自制的</t>
  </si>
  <si>
    <t>本批可节省</t>
  </si>
  <si>
    <t>② 输入参数</t>
  </si>
  <si>
    <t>ONE-Glo 价格 ($/盒)</t>
  </si>
  <si>
    <t>E6120，100 mL/盒</t>
  </si>
  <si>
    <t>ONE-Glo 每盒体积 (mL)</t>
  </si>
  <si>
    <t>ONE-Glo 每孔用量 (µL)</t>
  </si>
  <si>
    <t>ONE-Glo 每盒可测孔数</t>
  </si>
  <si>
    <t>来自「配方计算」</t>
  </si>
  <si>
    <t>用于 ⑤ 货源对比</t>
  </si>
  <si>
    <t>③ 不同检测规模的总成本</t>
  </si>
  <si>
    <t>场景</t>
  </si>
  <si>
    <t>检测孔数</t>
  </si>
  <si>
    <t>约合 96 孔板 (块)</t>
  </si>
  <si>
    <t>自制试剂成本 ($)</t>
  </si>
  <si>
    <t>节省 ($)</t>
  </si>
  <si>
    <t>1 块 96 孔板</t>
  </si>
  <si>
    <t>1,000 孔</t>
  </si>
  <si>
    <t>10,000 孔</t>
  </si>
  <si>
    <t>④ 自制试剂成本构成（本批）</t>
  </si>
  <si>
    <t>供应商货号</t>
  </si>
  <si>
    <t>包装</t>
  </si>
  <si>
    <t>⑤ 辅酶 A 货源对比（本批）</t>
  </si>
  <si>
    <t>货源</t>
  </si>
  <si>
    <t>本批用量 (mg)</t>
  </si>
  <si>
    <t>单位成本 ($/mg)</t>
  </si>
  <si>
    <t>Ambeed 游离酸（现用）</t>
  </si>
  <si>
    <t>VWR 三锂盐（原方案）</t>
  </si>
  <si>
    <t>改用 Ambeed 节省</t>
  </si>
  <si>
    <t>体积 × 1000 ÷ 每孔用量</t>
  </si>
  <si>
    <t>需称量（按 GLB 用量）</t>
  </si>
  <si>
    <t>★ 唯一主输入：改这里，②③ 全部自动联动</t>
  </si>
  <si>
    <t>倍</t>
  </si>
  <si>
    <t>短期可 4 °C 保存；长期保存可 −20 °C 或 −70 °C 冻存。建议小管分装，融化后平衡至室温、轻柔混匀再用；有效期以瓶签为准。</t>
  </si>
  <si>
    <t>① 细胞裂解液：Promega Glo Lysis Buffer, 1X (E2661) — 配制时预混进检测缓冲液（仿 ONE-Glo）</t>
  </si>
  <si>
    <t>检测缓冲液 : GLB（体积比）</t>
  </si>
  <si>
    <t>每孔含 GLB (µL)</t>
  </si>
  <si>
    <t>每孔含 ② 缓冲液 (µL)</t>
  </si>
  <si>
    <t>套数 × 每套 ② 用量 × (1+余量)；自动带入 ② 配制体积</t>
  </si>
  <si>
    <t>② 缓冲液是否足够</t>
  </si>
  <si>
    <t>冻干前每瓶分装体积 (mL)（直接称量固体时不使用）</t>
  </si>
  <si>
    <t>③ D-萤光素：一次性溶于全部检测缓冲液（①+②）后分装，液体 −80 °C 冻存</t>
  </si>
  <si>
    <t>每管分装体积 (mL)</t>
  </si>
  <si>
    <t>分装管数</t>
  </si>
  <si>
    <t>自动联动 可分装管数</t>
  </si>
  <si>
    <t>D-萤光素终浓度 (mM)（在完整试剂中）</t>
  </si>
  <si>
    <t>可分装管数</t>
  </si>
  <si>
    <t>管</t>
  </si>
  <si>
    <t>GLB 用量 ÷ 每管 GLB；自动带入 ③ 管数</t>
  </si>
  <si>
    <t>每管含量 (mg)</t>
  </si>
  <si>
    <t>一次称量，直接溶于检测缓冲液</t>
  </si>
  <si>
    <t>每管 GLB 用量 (mL)</t>
  </si>
  <si>
    <t>每管 ② 检测缓冲液用量 (mL)</t>
  </si>
  <si>
    <t>每管可测孔数</t>
  </si>
  <si>
    <t>分装母液浓度 (mM)（本方案不使用）</t>
  </si>
  <si>
    <t>每孔加入试剂体积 (µL)</t>
  </si>
  <si>
    <t>与自制每孔用量一致（来自「配方计算」），便于同口径对比</t>
  </si>
  <si>
    <t>自制 每孔加入试剂 (µL)</t>
  </si>
  <si>
    <t>来自「配方计算」B5（含 GLB + ② + ③）</t>
  </si>
  <si>
    <t>ONE-Glo 试剂成本 ($)</t>
  </si>
  <si>
    <t>ONE-Glo 需采购盒数（参考）</t>
  </si>
  <si>
    <t>注：两者均按每孔实际消耗折算（每孔成本 × 孔数），同口径对比；E 列为 ONE-Glo 需采购的整盒数，仅供采购参考。</t>
  </si>
  <si>
    <t>③ 加入 D-萤光素并分装</t>
  </si>
  <si>
    <t>A587635</t>
  </si>
  <si>
    <t>E</t>
  </si>
  <si>
    <t>报告基因 mRNA（每孔加入）</t>
  </si>
  <si>
    <t>Fluc mRNA（Novaprotein）</t>
  </si>
  <si>
    <t>Firefly luciferase (Fluc) mRNA, 50 mg</t>
  </si>
  <si>
    <t>每孔加入 0.1 µg，作为发光报告基因</t>
  </si>
  <si>
    <t>-80 °C，避免反复冻融</t>
  </si>
  <si>
    <t>RNase-free 操作；建议分装</t>
  </si>
  <si>
    <t>（待填）</t>
  </si>
  <si>
    <t>每孔 Fluc mRNA 加入量 (µg)</t>
  </si>
  <si>
    <t>mRNA 两种方案都要用，同时计入自制与 ONE-Glo 每孔成本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</si>
</sst>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#,##0.0"/>
    <numFmt numFmtId="165" formatCode="0.0"/>
    <numFmt numFmtId="166" formatCode="&quot;$&quot;#,##0.00"/>
    <numFmt numFmtId="167" formatCode="&quot;$&quot;0.00000"/>
    <numFmt numFmtId="168" formatCode="0.0%"/>
    <numFmt numFmtId="169" formatCode="0.0&quot;x&quot;"/>
    <numFmt numFmtId="170" formatCode="&quot;$&quot;0.000"/>
    <numFmt numFmtId="171" formatCode="&quot;$&quot;#,##0"/>
  </numFmts>
  <fonts count="27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4"/>
      <color theme="1"/>
      <name val="Arial"/>
      <family val="2"/>
    </font>
    <font>
      <i/>
      <sz val="10"/>
      <color rgb="FFC00000"/>
      <name val="Arial"/>
      <family val="2"/>
    </font>
    <font>
      <b/>
      <sz val="10"/>
      <color rgb="FFFFFFFF"/>
      <name val="Arial"/>
      <family val="2"/>
    </font>
    <font>
      <b/>
      <sz val="10"/>
      <color theme="1"/>
      <name val="Arial"/>
      <family val="2"/>
    </font>
    <font>
      <i/>
      <sz val="10"/>
      <color rgb="FF595959"/>
      <name val="Arial"/>
      <family val="2"/>
    </font>
    <font>
      <sz val="10"/>
      <color rgb="FF0000FF"/>
      <name val="Arial"/>
      <family val="2"/>
    </font>
    <font>
      <sz val="10"/>
      <color rgb="FF000000"/>
      <name val="Tahoma"/>
      <family val="2"/>
    </font>
    <font>
      <b/>
      <sz val="10"/>
      <color rgb="FF000000"/>
      <name val="Tahoma"/>
      <family val="2"/>
    </font>
    <font>
      <sz val="10"/>
      <color rgb="FF000000"/>
      <name val="Arial"/>
      <family val="2"/>
    </font>
    <font>
      <sz val="12"/>
      <color rgb="FF008000"/>
      <name val="Aptos Narrow"/>
      <family val="2"/>
      <scheme val="minor"/>
    </font>
    <font>
      <sz val="12"/>
      <color rgb="FF0000FF"/>
      <name val="Aptos Narrow"/>
      <family val="2"/>
      <scheme val="minor"/>
    </font>
    <font>
      <b/>
      <sz val="12"/>
      <color rgb="FFFFFFFF"/>
      <name val="Aptos Narrow"/>
      <family val="2"/>
      <scheme val="minor"/>
    </font>
    <font>
      <b/>
      <sz val="16"/>
      <color rgb="FF1F4E78"/>
      <name val="Aptos Narrow"/>
      <family val="2"/>
      <scheme val="minor"/>
    </font>
    <font>
      <i/>
      <sz val="12"/>
      <color rgb="FF595959"/>
      <name val="Aptos Narrow"/>
      <family val="2"/>
      <scheme val="minor"/>
    </font>
    <font>
      <b/>
      <sz val="12"/>
      <color rgb="FF595959"/>
      <name val="Aptos Narrow"/>
      <family val="2"/>
      <scheme val="minor"/>
    </font>
    <font>
      <b/>
      <sz val="22"/>
      <color theme="1"/>
      <name val="Aptos Narrow"/>
      <family val="2"/>
      <scheme val="minor"/>
    </font>
    <font>
      <sz val="9"/>
      <color rgb="FF7F7F7F"/>
      <name val="Aptos Narrow"/>
      <family val="2"/>
      <scheme val="minor"/>
    </font>
    <font>
      <sz val="12"/>
      <color rgb="FF375623"/>
      <name val="Aptos Narrow"/>
      <family val="2"/>
      <scheme val="minor"/>
    </font>
    <font>
      <b/>
      <sz val="12"/>
      <color rgb="FF375623"/>
      <name val="Aptos Narrow"/>
      <family val="2"/>
      <scheme val="minor"/>
    </font>
    <font>
      <i/>
      <sz val="9"/>
      <color rgb="FF7F7F7F"/>
      <name val="Aptos Narrow"/>
      <family val="2"/>
      <scheme val="minor"/>
    </font>
    <font>
      <b/>
      <sz val="12"/>
      <color rgb="FF008000"/>
      <name val="Aptos Narrow"/>
      <family val="2"/>
      <scheme val="minor"/>
    </font>
    <font>
      <b/>
      <sz val="10"/>
      <color rgb="FFC00000"/>
      <name val="Arial"/>
      <family val="2"/>
    </font>
    <font>
      <i/>
      <sz val="9"/>
      <color rgb="FF7F7F7F"/>
      <name val="Arial"/>
      <family val="2"/>
    </font>
    <font>
      <sz val="12"/>
      <color rgb="FF000000"/>
      <name val="Aptos Narrow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F2F2F2"/>
        <bgColor indexed="64"/>
      </patternFill>
    </fill>
  </fills>
  <borders count="14"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rgb="FFBFBFBF"/>
      </bottom>
      <diagonal/>
    </border>
    <border>
      <left/>
      <right/>
      <top style="thin">
        <color rgb="FFBFBFBF"/>
      </top>
      <bottom/>
      <diagonal/>
    </border>
    <border>
      <left/>
      <right style="thin">
        <color rgb="FFBFBFBF"/>
      </right>
      <top/>
      <bottom style="thin">
        <color rgb="FFBFBFBF"/>
      </bottom>
      <diagonal/>
    </border>
    <border>
      <left style="thin">
        <color rgb="FFBFBFBF"/>
      </left>
      <right/>
      <top/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/>
      <diagonal/>
    </border>
    <border>
      <left style="thin">
        <color rgb="FFBFBFBF"/>
      </left>
      <right/>
      <top style="thin">
        <color rgb="FFBFBFBF"/>
      </top>
      <bottom/>
      <diagonal/>
    </border>
    <border>
      <left style="thin">
        <color rgb="FFBFBFBF"/>
      </left>
      <right/>
      <top/>
      <bottom/>
      <diagonal/>
    </border>
    <border>
      <left/>
      <right style="thin">
        <color rgb="FFBFBFBF"/>
      </right>
      <top/>
      <bottom/>
      <diagonal/>
    </border>
    <border>
      <left/>
      <right/>
      <top/>
      <bottom style="thin">
        <color rgb="FFD9D9D9"/>
      </bottom>
      <diagonal/>
    </border>
    <border>
      <left/>
      <right/>
      <top style="thin">
        <color rgb="FFD9D9D9"/>
      </top>
      <bottom style="thin">
        <color rgb="FFD9D9D9"/>
      </bottom>
      <diagonal/>
    </border>
    <border>
      <left/>
      <right/>
      <top style="thin">
        <color rgb="FFD9D9D9"/>
      </top>
      <bottom/>
      <diagonal/>
    </border>
  </borders>
  <cellStyleXfs count="1">
    <xf numFmtId="0" fontId="0" fillId="0" borderId="0"/>
  </cellStyleXfs>
  <cellXfs count="125">
    <xf numFmtId="0" fontId="0" fillId="0" borderId="0" xfId="0"/>
    <xf numFmtId="0" fontId="3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6" fillId="3" borderId="6" xfId="0" applyFont="1" applyFill="1" applyBorder="1" applyAlignment="1">
      <alignment vertical="center" wrapText="1"/>
    </xf>
    <xf numFmtId="0" fontId="2" fillId="0" borderId="6" xfId="0" applyFont="1" applyBorder="1" applyAlignment="1">
      <alignment vertical="center" wrapText="1"/>
    </xf>
    <xf numFmtId="0" fontId="5" fillId="2" borderId="6" xfId="0" applyFont="1" applyFill="1" applyBorder="1" applyAlignment="1">
      <alignment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6" fillId="3" borderId="6" xfId="0" applyFont="1" applyFill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7" fillId="0" borderId="0" xfId="0" applyFont="1" applyAlignment="1">
      <alignment vertical="center"/>
    </xf>
    <xf numFmtId="0" fontId="5" fillId="2" borderId="0" xfId="0" applyFont="1" applyFill="1" applyAlignment="1">
      <alignment vertical="center"/>
    </xf>
    <xf numFmtId="0" fontId="2" fillId="0" borderId="6" xfId="0" applyFont="1" applyBorder="1" applyAlignment="1">
      <alignment vertical="center"/>
    </xf>
    <xf numFmtId="0" fontId="6" fillId="3" borderId="6" xfId="0" applyFont="1" applyFill="1" applyBorder="1" applyAlignment="1">
      <alignment vertical="center"/>
    </xf>
    <xf numFmtId="0" fontId="8" fillId="4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6" fillId="3" borderId="6" xfId="0" applyFont="1" applyFill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164" fontId="2" fillId="0" borderId="6" xfId="0" applyNumberFormat="1" applyFont="1" applyBorder="1" applyAlignment="1">
      <alignment horizontal="center" vertical="center"/>
    </xf>
    <xf numFmtId="2" fontId="2" fillId="0" borderId="6" xfId="0" applyNumberFormat="1" applyFont="1" applyBorder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4" fontId="2" fillId="0" borderId="6" xfId="0" applyNumberFormat="1" applyFont="1" applyBorder="1" applyAlignment="1">
      <alignment horizontal="center" vertical="center"/>
    </xf>
    <xf numFmtId="3" fontId="2" fillId="0" borderId="6" xfId="0" applyNumberFormat="1" applyFont="1" applyBorder="1" applyAlignment="1">
      <alignment horizontal="center" vertical="center"/>
    </xf>
    <xf numFmtId="1" fontId="2" fillId="0" borderId="6" xfId="0" applyNumberFormat="1" applyFont="1" applyBorder="1" applyAlignment="1">
      <alignment horizontal="center" vertical="center"/>
    </xf>
    <xf numFmtId="0" fontId="2" fillId="6" borderId="6" xfId="0" applyFont="1" applyFill="1" applyBorder="1" applyAlignment="1">
      <alignment vertical="center" wrapText="1"/>
    </xf>
    <xf numFmtId="0" fontId="6" fillId="3" borderId="6" xfId="0" applyFont="1" applyFill="1" applyBorder="1" applyAlignment="1">
      <alignment horizontal="left" vertical="center" wrapText="1"/>
    </xf>
    <xf numFmtId="0" fontId="2" fillId="0" borderId="6" xfId="0" applyFont="1" applyBorder="1" applyAlignment="1">
      <alignment horizontal="left" vertical="center" wrapText="1"/>
    </xf>
    <xf numFmtId="14" fontId="2" fillId="0" borderId="6" xfId="0" applyNumberFormat="1" applyFont="1" applyBorder="1" applyAlignment="1">
      <alignment horizontal="left" vertical="center" wrapText="1"/>
    </xf>
    <xf numFmtId="0" fontId="2" fillId="0" borderId="0" xfId="0" applyFont="1" applyAlignment="1">
      <alignment horizontal="left" vertical="center"/>
    </xf>
    <xf numFmtId="0" fontId="5" fillId="2" borderId="6" xfId="0" applyFont="1" applyFill="1" applyBorder="1" applyAlignment="1">
      <alignment horizontal="left" vertical="center" wrapText="1"/>
    </xf>
    <xf numFmtId="0" fontId="0" fillId="0" borderId="0" xfId="0" applyAlignment="1">
      <alignment horizontal="left"/>
    </xf>
    <xf numFmtId="1" fontId="8" fillId="0" borderId="6" xfId="0" applyNumberFormat="1" applyFont="1" applyBorder="1" applyAlignment="1">
      <alignment horizontal="center" vertical="center"/>
    </xf>
    <xf numFmtId="9" fontId="8" fillId="0" borderId="0" xfId="0" applyNumberFormat="1" applyFont="1" applyAlignment="1">
      <alignment horizontal="center" vertical="center"/>
    </xf>
    <xf numFmtId="165" fontId="11" fillId="0" borderId="0" xfId="0" applyNumberFormat="1" applyFont="1" applyAlignment="1">
      <alignment horizontal="center" vertical="center"/>
    </xf>
    <xf numFmtId="3" fontId="11" fillId="0" borderId="6" xfId="0" applyNumberFormat="1" applyFont="1" applyBorder="1" applyAlignment="1">
      <alignment horizontal="center" vertical="center"/>
    </xf>
    <xf numFmtId="164" fontId="11" fillId="0" borderId="6" xfId="0" applyNumberFormat="1" applyFont="1" applyBorder="1" applyAlignment="1">
      <alignment horizontal="center" vertical="center"/>
    </xf>
    <xf numFmtId="1" fontId="11" fillId="0" borderId="6" xfId="0" applyNumberFormat="1" applyFont="1" applyBorder="1" applyAlignment="1">
      <alignment horizontal="center" vertical="center"/>
    </xf>
    <xf numFmtId="0" fontId="11" fillId="4" borderId="0" xfId="0" applyFont="1" applyFill="1" applyAlignment="1">
      <alignment horizontal="center" vertical="center"/>
    </xf>
    <xf numFmtId="1" fontId="11" fillId="4" borderId="0" xfId="0" applyNumberFormat="1" applyFont="1" applyFill="1" applyAlignment="1">
      <alignment horizontal="center" vertical="center"/>
    </xf>
    <xf numFmtId="0" fontId="8" fillId="0" borderId="6" xfId="0" applyFont="1" applyBorder="1" applyAlignment="1">
      <alignment horizontal="center" vertical="center" wrapText="1"/>
    </xf>
    <xf numFmtId="166" fontId="8" fillId="0" borderId="6" xfId="0" applyNumberFormat="1" applyFont="1" applyBorder="1" applyAlignment="1">
      <alignment horizontal="center" vertical="center" wrapText="1"/>
    </xf>
    <xf numFmtId="166" fontId="2" fillId="0" borderId="6" xfId="0" applyNumberFormat="1" applyFont="1" applyBorder="1" applyAlignment="1">
      <alignment horizontal="center" vertical="center" wrapText="1"/>
    </xf>
    <xf numFmtId="166" fontId="6" fillId="3" borderId="6" xfId="0" applyNumberFormat="1" applyFont="1" applyFill="1" applyBorder="1" applyAlignment="1">
      <alignment vertical="center" wrapText="1"/>
    </xf>
    <xf numFmtId="166" fontId="2" fillId="0" borderId="6" xfId="0" applyNumberFormat="1" applyFont="1" applyBorder="1" applyAlignment="1">
      <alignment vertical="center" wrapText="1"/>
    </xf>
    <xf numFmtId="166" fontId="0" fillId="0" borderId="0" xfId="0" applyNumberFormat="1"/>
    <xf numFmtId="0" fontId="1" fillId="0" borderId="0" xfId="0" applyFont="1"/>
    <xf numFmtId="0" fontId="1" fillId="3" borderId="0" xfId="0" applyFont="1" applyFill="1"/>
    <xf numFmtId="0" fontId="1" fillId="3" borderId="0" xfId="0" applyFont="1" applyFill="1" applyAlignment="1">
      <alignment horizontal="left"/>
    </xf>
    <xf numFmtId="166" fontId="1" fillId="3" borderId="0" xfId="0" applyNumberFormat="1" applyFont="1" applyFill="1"/>
    <xf numFmtId="0" fontId="12" fillId="0" borderId="0" xfId="0" applyFont="1"/>
    <xf numFmtId="3" fontId="12" fillId="0" borderId="0" xfId="0" applyNumberFormat="1" applyFont="1"/>
    <xf numFmtId="3" fontId="0" fillId="0" borderId="0" xfId="0" applyNumberFormat="1"/>
    <xf numFmtId="3" fontId="6" fillId="3" borderId="6" xfId="0" applyNumberFormat="1" applyFont="1" applyFill="1" applyBorder="1" applyAlignment="1">
      <alignment vertical="center"/>
    </xf>
    <xf numFmtId="0" fontId="14" fillId="2" borderId="0" xfId="0" applyFont="1" applyFill="1"/>
    <xf numFmtId="166" fontId="12" fillId="0" borderId="0" xfId="0" applyNumberFormat="1" applyFont="1"/>
    <xf numFmtId="167" fontId="0" fillId="0" borderId="0" xfId="0" applyNumberFormat="1"/>
    <xf numFmtId="168" fontId="0" fillId="0" borderId="0" xfId="0" applyNumberFormat="1"/>
    <xf numFmtId="164" fontId="0" fillId="0" borderId="0" xfId="0" applyNumberFormat="1"/>
    <xf numFmtId="0" fontId="12" fillId="0" borderId="0" xfId="0" applyFont="1" applyAlignment="1">
      <alignment horizontal="right"/>
    </xf>
    <xf numFmtId="49" fontId="2" fillId="0" borderId="6" xfId="0" applyNumberFormat="1" applyFont="1" applyBorder="1" applyAlignment="1">
      <alignment horizontal="left" vertical="center" wrapText="1"/>
    </xf>
    <xf numFmtId="0" fontId="15" fillId="0" borderId="0" xfId="0" applyFont="1"/>
    <xf numFmtId="0" fontId="16" fillId="0" borderId="0" xfId="0" applyFont="1"/>
    <xf numFmtId="0" fontId="19" fillId="0" borderId="0" xfId="0" applyFont="1"/>
    <xf numFmtId="0" fontId="0" fillId="0" borderId="11" xfId="0" applyBorder="1"/>
    <xf numFmtId="171" fontId="13" fillId="0" borderId="11" xfId="0" applyNumberFormat="1" applyFont="1" applyBorder="1" applyAlignment="1">
      <alignment horizontal="right"/>
    </xf>
    <xf numFmtId="0" fontId="0" fillId="0" borderId="12" xfId="0" applyBorder="1"/>
    <xf numFmtId="0" fontId="13" fillId="0" borderId="12" xfId="0" applyFont="1" applyBorder="1" applyAlignment="1">
      <alignment horizontal="right"/>
    </xf>
    <xf numFmtId="3" fontId="0" fillId="0" borderId="12" xfId="0" applyNumberFormat="1" applyBorder="1" applyAlignment="1">
      <alignment horizontal="right"/>
    </xf>
    <xf numFmtId="3" fontId="12" fillId="0" borderId="12" xfId="0" applyNumberFormat="1" applyFont="1" applyBorder="1" applyAlignment="1">
      <alignment horizontal="right"/>
    </xf>
    <xf numFmtId="0" fontId="0" fillId="0" borderId="13" xfId="0" applyBorder="1"/>
    <xf numFmtId="0" fontId="13" fillId="0" borderId="13" xfId="0" applyFont="1" applyBorder="1" applyAlignment="1">
      <alignment horizontal="right"/>
    </xf>
    <xf numFmtId="0" fontId="1" fillId="3" borderId="0" xfId="0" applyFont="1" applyFill="1" applyAlignment="1">
      <alignment horizontal="center" vertical="center" wrapText="1"/>
    </xf>
    <xf numFmtId="3" fontId="13" fillId="0" borderId="0" xfId="0" applyNumberFormat="1" applyFont="1"/>
    <xf numFmtId="171" fontId="0" fillId="0" borderId="0" xfId="0" applyNumberFormat="1"/>
    <xf numFmtId="0" fontId="1" fillId="9" borderId="0" xfId="0" applyFont="1" applyFill="1"/>
    <xf numFmtId="3" fontId="1" fillId="9" borderId="0" xfId="0" applyNumberFormat="1" applyFont="1" applyFill="1"/>
    <xf numFmtId="164" fontId="1" fillId="9" borderId="0" xfId="0" applyNumberFormat="1" applyFont="1" applyFill="1"/>
    <xf numFmtId="166" fontId="1" fillId="9" borderId="0" xfId="0" applyNumberFormat="1" applyFont="1" applyFill="1"/>
    <xf numFmtId="171" fontId="20" fillId="0" borderId="0" xfId="0" applyNumberFormat="1" applyFont="1"/>
    <xf numFmtId="171" fontId="21" fillId="9" borderId="0" xfId="0" applyNumberFormat="1" applyFont="1" applyFill="1"/>
    <xf numFmtId="0" fontId="22" fillId="0" borderId="0" xfId="0" applyFont="1"/>
    <xf numFmtId="0" fontId="0" fillId="0" borderId="0" xfId="0" applyAlignment="1">
      <alignment horizontal="center"/>
    </xf>
    <xf numFmtId="0" fontId="1" fillId="9" borderId="1" xfId="0" applyFont="1" applyFill="1" applyBorder="1"/>
    <xf numFmtId="166" fontId="1" fillId="9" borderId="1" xfId="0" applyNumberFormat="1" applyFont="1" applyFill="1" applyBorder="1"/>
    <xf numFmtId="167" fontId="1" fillId="9" borderId="1" xfId="0" applyNumberFormat="1" applyFont="1" applyFill="1" applyBorder="1"/>
    <xf numFmtId="168" fontId="1" fillId="9" borderId="1" xfId="0" applyNumberFormat="1" applyFont="1" applyFill="1" applyBorder="1"/>
    <xf numFmtId="0" fontId="1" fillId="3" borderId="0" xfId="0" applyFont="1" applyFill="1" applyAlignment="1">
      <alignment horizontal="center" wrapText="1"/>
    </xf>
    <xf numFmtId="170" fontId="0" fillId="0" borderId="0" xfId="0" applyNumberFormat="1"/>
    <xf numFmtId="170" fontId="12" fillId="0" borderId="0" xfId="0" applyNumberFormat="1" applyFont="1"/>
    <xf numFmtId="0" fontId="1" fillId="7" borderId="1" xfId="0" applyFont="1" applyFill="1" applyBorder="1"/>
    <xf numFmtId="166" fontId="1" fillId="7" borderId="1" xfId="0" applyNumberFormat="1" applyFont="1" applyFill="1" applyBorder="1"/>
    <xf numFmtId="167" fontId="1" fillId="7" borderId="1" xfId="0" applyNumberFormat="1" applyFont="1" applyFill="1" applyBorder="1"/>
    <xf numFmtId="166" fontId="23" fillId="0" borderId="0" xfId="0" applyNumberFormat="1" applyFont="1"/>
    <xf numFmtId="1" fontId="8" fillId="5" borderId="6" xfId="0" applyNumberFormat="1" applyFont="1" applyFill="1" applyBorder="1" applyAlignment="1">
      <alignment horizontal="center" vertical="center"/>
    </xf>
    <xf numFmtId="0" fontId="24" fillId="0" borderId="6" xfId="0" applyFont="1" applyBorder="1" applyAlignment="1">
      <alignment vertical="center"/>
    </xf>
    <xf numFmtId="3" fontId="8" fillId="0" borderId="6" xfId="0" applyNumberFormat="1" applyFont="1" applyBorder="1" applyAlignment="1">
      <alignment horizontal="center" vertical="center"/>
    </xf>
    <xf numFmtId="165" fontId="11" fillId="0" borderId="6" xfId="0" applyNumberFormat="1" applyFont="1" applyBorder="1" applyAlignment="1">
      <alignment horizontal="center" vertical="center"/>
    </xf>
    <xf numFmtId="165" fontId="12" fillId="0" borderId="12" xfId="0" applyNumberFormat="1" applyFont="1" applyBorder="1" applyAlignment="1">
      <alignment horizontal="right"/>
    </xf>
    <xf numFmtId="0" fontId="25" fillId="0" borderId="0" xfId="0" applyFont="1" applyAlignment="1">
      <alignment vertical="center"/>
    </xf>
    <xf numFmtId="0" fontId="12" fillId="0" borderId="12" xfId="0" applyFont="1" applyBorder="1" applyAlignment="1">
      <alignment horizontal="right"/>
    </xf>
    <xf numFmtId="2" fontId="13" fillId="0" borderId="13" xfId="0" applyNumberFormat="1" applyFont="1" applyBorder="1" applyAlignment="1">
      <alignment horizontal="right"/>
    </xf>
    <xf numFmtId="4" fontId="26" fillId="0" borderId="0" xfId="0" applyNumberFormat="1" applyFont="1"/>
    <xf numFmtId="0" fontId="17" fillId="4" borderId="8" xfId="0" applyFont="1" applyFill="1" applyBorder="1" applyAlignment="1">
      <alignment horizontal="center"/>
    </xf>
    <xf numFmtId="0" fontId="0" fillId="4" borderId="3" xfId="0" applyFill="1" applyBorder="1" applyAlignment="1">
      <alignment horizontal="center"/>
    </xf>
    <xf numFmtId="169" fontId="18" fillId="4" borderId="9" xfId="0" applyNumberFormat="1" applyFont="1" applyFill="1" applyBorder="1" applyAlignment="1">
      <alignment horizontal="center"/>
    </xf>
    <xf numFmtId="0" fontId="0" fillId="4" borderId="0" xfId="0" applyFill="1" applyAlignment="1">
      <alignment horizontal="center"/>
    </xf>
    <xf numFmtId="0" fontId="19" fillId="4" borderId="5" xfId="0" applyFont="1" applyFill="1" applyBorder="1" applyAlignment="1">
      <alignment horizontal="center"/>
    </xf>
    <xf numFmtId="0" fontId="0" fillId="4" borderId="2" xfId="0" applyFill="1" applyBorder="1" applyAlignment="1">
      <alignment horizontal="center"/>
    </xf>
    <xf numFmtId="0" fontId="17" fillId="7" borderId="8" xfId="0" applyFont="1" applyFill="1" applyBorder="1" applyAlignment="1">
      <alignment horizontal="center"/>
    </xf>
    <xf numFmtId="0" fontId="0" fillId="7" borderId="7" xfId="0" applyFill="1" applyBorder="1" applyAlignment="1">
      <alignment horizontal="center"/>
    </xf>
    <xf numFmtId="171" fontId="18" fillId="7" borderId="9" xfId="0" applyNumberFormat="1" applyFont="1" applyFill="1" applyBorder="1" applyAlignment="1">
      <alignment horizontal="center"/>
    </xf>
    <xf numFmtId="0" fontId="0" fillId="7" borderId="10" xfId="0" applyFill="1" applyBorder="1" applyAlignment="1">
      <alignment horizontal="center"/>
    </xf>
    <xf numFmtId="0" fontId="19" fillId="7" borderId="5" xfId="0" applyFont="1" applyFill="1" applyBorder="1" applyAlignment="1">
      <alignment horizontal="center"/>
    </xf>
    <xf numFmtId="0" fontId="0" fillId="7" borderId="4" xfId="0" applyFill="1" applyBorder="1" applyAlignment="1">
      <alignment horizontal="center"/>
    </xf>
    <xf numFmtId="0" fontId="0" fillId="7" borderId="3" xfId="0" applyFill="1" applyBorder="1" applyAlignment="1">
      <alignment horizontal="center"/>
    </xf>
    <xf numFmtId="170" fontId="18" fillId="7" borderId="9" xfId="0" applyNumberFormat="1" applyFont="1" applyFill="1" applyBorder="1" applyAlignment="1">
      <alignment horizontal="center"/>
    </xf>
    <xf numFmtId="0" fontId="0" fillId="7" borderId="0" xfId="0" applyFill="1" applyAlignment="1">
      <alignment horizontal="center"/>
    </xf>
    <xf numFmtId="0" fontId="0" fillId="7" borderId="2" xfId="0" applyFill="1" applyBorder="1" applyAlignment="1">
      <alignment horizontal="center"/>
    </xf>
    <xf numFmtId="0" fontId="17" fillId="8" borderId="8" xfId="0" applyFont="1" applyFill="1" applyBorder="1" applyAlignment="1">
      <alignment horizontal="center"/>
    </xf>
    <xf numFmtId="0" fontId="0" fillId="8" borderId="3" xfId="0" applyFill="1" applyBorder="1" applyAlignment="1">
      <alignment horizontal="center"/>
    </xf>
    <xf numFmtId="170" fontId="18" fillId="8" borderId="9" xfId="0" applyNumberFormat="1" applyFont="1" applyFill="1" applyBorder="1" applyAlignment="1">
      <alignment horizontal="center"/>
    </xf>
    <xf numFmtId="0" fontId="0" fillId="8" borderId="0" xfId="0" applyFill="1" applyAlignment="1">
      <alignment horizontal="center"/>
    </xf>
    <xf numFmtId="0" fontId="19" fillId="8" borderId="5" xfId="0" applyFont="1" applyFill="1" applyBorder="1" applyAlignment="1">
      <alignment horizontal="center"/>
    </xf>
    <xf numFmtId="0" fontId="0" fillId="8" borderId="2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altLang="en-US" sz="11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/>
              <a:t>总成本对比：自制 </a:t>
            </a:r>
            <a:r>
              <a:rPr lang="en-US"/>
              <a:t>vs ONE-Glo ($)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altLang="en-US" sz="11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自制</c:v>
          </c:tx>
          <c:spPr>
            <a:solidFill>
              <a:srgbClr val="70AD47"/>
            </a:solidFill>
            <a:ln>
              <a:noFill/>
            </a:ln>
            <a:effectLst/>
          </c:spPr>
          <c:invertIfNegative val="0"/>
          <c:dLbls>
            <c:numFmt formatCode="&quot;$&quot;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成本核算!$A$20:$A$23</c:f>
              <c:strCache>
                <c:ptCount val="4"/>
                <c:pt idx="0">
                  <c:v>1 块 96 孔板</c:v>
                </c:pt>
                <c:pt idx="1">
                  <c:v>1,000 孔</c:v>
                </c:pt>
                <c:pt idx="2">
                  <c:v>10,000 孔</c:v>
                </c:pt>
                <c:pt idx="3">
                  <c:v>本批（100 mL GLB）</c:v>
                </c:pt>
              </c:strCache>
            </c:strRef>
          </c:cat>
          <c:val>
            <c:numRef>
              <c:f>成本核算!$D$20:$D$23</c:f>
              <c:numCache>
                <c:formatCode>"$"#,##0.00</c:formatCode>
                <c:ptCount val="4"/>
                <c:pt idx="0">
                  <c:v>2.9385198921004947</c:v>
                </c:pt>
                <c:pt idx="1">
                  <c:v>30.60958220938015</c:v>
                </c:pt>
                <c:pt idx="2">
                  <c:v>306.09582209380153</c:v>
                </c:pt>
                <c:pt idx="3">
                  <c:v>367.3149865125618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B69-964E-B6E8-5FEC5B88AE6F}"/>
            </c:ext>
          </c:extLst>
        </c:ser>
        <c:ser>
          <c:idx val="1"/>
          <c:order val="1"/>
          <c:tx>
            <c:v>ONE-Glo</c:v>
          </c:tx>
          <c:spPr>
            <a:solidFill>
              <a:srgbClr val="ED7D31"/>
            </a:solidFill>
            <a:ln>
              <a:noFill/>
            </a:ln>
            <a:effectLst/>
          </c:spPr>
          <c:invertIfNegative val="0"/>
          <c:dLbls>
            <c:numFmt formatCode="&quot;$&quot;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成本核算!$A$20:$A$23</c:f>
              <c:strCache>
                <c:ptCount val="4"/>
                <c:pt idx="0">
                  <c:v>1 块 96 孔板</c:v>
                </c:pt>
                <c:pt idx="1">
                  <c:v>1,000 孔</c:v>
                </c:pt>
                <c:pt idx="2">
                  <c:v>10,000 孔</c:v>
                </c:pt>
                <c:pt idx="3">
                  <c:v>本批（100 mL GLB）</c:v>
                </c:pt>
              </c:strCache>
            </c:strRef>
          </c:cat>
          <c:val>
            <c:numRef>
              <c:f>成本核算!$F$20:$F$23</c:f>
              <c:numCache>
                <c:formatCode>"$"#,##0</c:formatCode>
                <c:ptCount val="4"/>
                <c:pt idx="0">
                  <c:v>58.22399999999999</c:v>
                </c:pt>
                <c:pt idx="1">
                  <c:v>606.49999999999989</c:v>
                </c:pt>
                <c:pt idx="2">
                  <c:v>6064.9999999999991</c:v>
                </c:pt>
                <c:pt idx="3">
                  <c:v>7277.9999999999991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B69-964E-B6E8-5FEC5B88AE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78020032"/>
        <c:axId val="1878030336"/>
      </c:barChart>
      <c:catAx>
        <c:axId val="18780200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8030336"/>
        <c:crosses val="autoZero"/>
        <c:auto val="1"/>
        <c:lblAlgn val="ctr"/>
        <c:lblOffset val="100"/>
        <c:noMultiLvlLbl val="0"/>
      </c:catAx>
      <c:valAx>
        <c:axId val="18780303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80200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8</xdr:row>
      <xdr:rowOff>0</xdr:rowOff>
    </xdr:from>
    <xdr:to>
      <xdr:col>10</xdr:col>
      <xdr:colOff>0</xdr:colOff>
      <xdr:row>16</xdr:row>
      <xdr:rowOff>201587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CFCA798-3D64-7056-E2D3-F4CF2F9D863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65D238C0-E250-1F45-8DE9-50DB505E14FE}">
  <we:reference id="wa200009404" version="1.0.0.8" store="en-US" storeType="OMEX"/>
  <we:alternateReferences>
    <we:reference id="wa200009404" version="1.0.0.8" store="en-US" storeType="OMEX"/>
  </we:alternateReferences>
  <we:properties>
    <we:property name="claude.fileId" value="&quot;fb9fc6ef-9ad1-4484-9f10-8ae2dc04ef6b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955CDF-6E7F-D84B-8448-F28F7D22C4B4}">
  <dimension ref="A1:P23"/>
  <sheetViews>
    <sheetView tabSelected="1" zoomScale="130" zoomScaleNormal="130" workbookViewId="0">
      <pane ySplit="3" topLeftCell="A4" activePane="bottomLeft" state="frozen"/>
      <selection pane="bottomLeft"/>
    </sheetView>
  </sheetViews>
  <sheetFormatPr baseColWidth="10" defaultRowHeight="16" x14ac:dyDescent="0.2"/>
  <cols>
    <col min="1" max="1" width="6" customWidth="1"/>
    <col min="2" max="2" width="39" customWidth="1"/>
    <col min="3" max="3" width="33.33203125" customWidth="1"/>
    <col min="4" max="4" width="13.33203125" style="31" customWidth="1"/>
    <col min="5" max="5" width="18.33203125" customWidth="1"/>
    <col min="6" max="6" width="25" customWidth="1"/>
    <col min="7" max="7" width="31.6640625" customWidth="1"/>
    <col min="8" max="8" width="34.6640625" customWidth="1"/>
    <col min="9" max="9" width="33.33203125" customWidth="1"/>
    <col min="10" max="14" width="11.6640625" customWidth="1"/>
    <col min="15" max="16" width="13.33203125" customWidth="1"/>
  </cols>
  <sheetData>
    <row r="1" spans="1:16" ht="18" x14ac:dyDescent="0.2">
      <c r="A1" s="1" t="s">
        <v>0</v>
      </c>
      <c r="B1" s="2"/>
      <c r="C1" s="2"/>
      <c r="D1" s="29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spans="1:16" x14ac:dyDescent="0.2">
      <c r="A2" s="3" t="s">
        <v>144</v>
      </c>
      <c r="B2" s="2"/>
      <c r="C2" s="2"/>
      <c r="D2" s="29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</row>
    <row r="3" spans="1:16" x14ac:dyDescent="0.2">
      <c r="A3" s="7" t="s">
        <v>1</v>
      </c>
      <c r="B3" s="6" t="s">
        <v>2</v>
      </c>
      <c r="C3" s="6" t="s">
        <v>3</v>
      </c>
      <c r="D3" s="30" t="s">
        <v>4</v>
      </c>
      <c r="E3" s="6" t="s">
        <v>5</v>
      </c>
      <c r="F3" s="6" t="s">
        <v>6</v>
      </c>
      <c r="G3" s="6" t="s">
        <v>145</v>
      </c>
      <c r="H3" s="6" t="s">
        <v>7</v>
      </c>
      <c r="I3" s="6" t="s">
        <v>8</v>
      </c>
      <c r="J3" s="6" t="s">
        <v>146</v>
      </c>
      <c r="K3" s="6" t="s">
        <v>147</v>
      </c>
      <c r="L3" s="6" t="s">
        <v>148</v>
      </c>
      <c r="M3" s="6" t="s">
        <v>149</v>
      </c>
      <c r="N3" s="6" t="s">
        <v>150</v>
      </c>
      <c r="O3" s="6" t="s">
        <v>151</v>
      </c>
      <c r="P3" s="6" t="s">
        <v>152</v>
      </c>
    </row>
    <row r="4" spans="1:16" x14ac:dyDescent="0.2">
      <c r="A4" s="8" t="s">
        <v>9</v>
      </c>
      <c r="B4" s="4" t="s">
        <v>126</v>
      </c>
      <c r="C4" s="4"/>
      <c r="D4" s="26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</row>
    <row r="5" spans="1:16" ht="28" x14ac:dyDescent="0.2">
      <c r="A5" s="9">
        <v>1</v>
      </c>
      <c r="B5" s="5" t="s">
        <v>130</v>
      </c>
      <c r="C5" s="5" t="s">
        <v>165</v>
      </c>
      <c r="D5" s="27"/>
      <c r="E5" s="5" t="s">
        <v>127</v>
      </c>
      <c r="F5" s="5" t="s">
        <v>131</v>
      </c>
      <c r="G5" s="25" t="s">
        <v>153</v>
      </c>
      <c r="H5" s="5" t="s">
        <v>132</v>
      </c>
      <c r="I5" s="27" t="s">
        <v>134</v>
      </c>
      <c r="J5" s="9">
        <v>1</v>
      </c>
      <c r="K5" s="40">
        <v>100</v>
      </c>
      <c r="L5" s="40" t="s">
        <v>62</v>
      </c>
      <c r="M5" s="40">
        <v>5</v>
      </c>
      <c r="N5" s="40" t="s">
        <v>154</v>
      </c>
      <c r="O5" s="41">
        <v>100.62</v>
      </c>
      <c r="P5" s="42">
        <f>M5*O5</f>
        <v>503.1</v>
      </c>
    </row>
    <row r="6" spans="1:16" ht="18" customHeight="1" x14ac:dyDescent="0.2">
      <c r="A6" s="8" t="s">
        <v>18</v>
      </c>
      <c r="B6" s="4" t="s">
        <v>19</v>
      </c>
      <c r="C6" s="4"/>
      <c r="D6" s="26"/>
      <c r="E6" s="4"/>
      <c r="F6" s="4"/>
      <c r="G6" s="4"/>
      <c r="H6" s="4"/>
      <c r="I6" s="4"/>
      <c r="J6" s="4"/>
      <c r="K6" s="4"/>
      <c r="L6" s="4"/>
      <c r="M6" s="4"/>
      <c r="N6" s="4"/>
      <c r="O6" s="43"/>
      <c r="P6" s="43"/>
    </row>
    <row r="7" spans="1:16" ht="42" x14ac:dyDescent="0.2">
      <c r="A7" s="9">
        <v>2</v>
      </c>
      <c r="B7" s="5" t="s">
        <v>20</v>
      </c>
      <c r="C7" s="5" t="s">
        <v>176</v>
      </c>
      <c r="D7" s="60" t="s">
        <v>217</v>
      </c>
      <c r="E7" s="5" t="s">
        <v>166</v>
      </c>
      <c r="F7" s="5" t="s">
        <v>22</v>
      </c>
      <c r="G7" s="5" t="s">
        <v>155</v>
      </c>
      <c r="H7" s="5" t="s">
        <v>10</v>
      </c>
      <c r="I7" s="5"/>
      <c r="J7" s="9">
        <v>2</v>
      </c>
      <c r="K7" s="40">
        <v>100</v>
      </c>
      <c r="L7" s="40" t="s">
        <v>156</v>
      </c>
      <c r="M7" s="40">
        <v>1</v>
      </c>
      <c r="N7" s="40" t="s">
        <v>154</v>
      </c>
      <c r="O7" s="41">
        <v>102.75</v>
      </c>
      <c r="P7" s="42">
        <f t="shared" ref="P7:P15" si="0">M7*O7</f>
        <v>102.75</v>
      </c>
    </row>
    <row r="8" spans="1:16" ht="28" x14ac:dyDescent="0.2">
      <c r="A8" s="9">
        <v>3</v>
      </c>
      <c r="B8" s="5" t="s">
        <v>23</v>
      </c>
      <c r="C8" s="5" t="s">
        <v>167</v>
      </c>
      <c r="D8" s="28" t="s">
        <v>24</v>
      </c>
      <c r="E8" s="5" t="s">
        <v>16</v>
      </c>
      <c r="F8" s="5" t="s">
        <v>25</v>
      </c>
      <c r="G8" s="5" t="s">
        <v>157</v>
      </c>
      <c r="H8" s="5" t="s">
        <v>10</v>
      </c>
      <c r="I8" s="5" t="s">
        <v>26</v>
      </c>
      <c r="J8" s="9">
        <v>3</v>
      </c>
      <c r="K8" s="40">
        <v>500</v>
      </c>
      <c r="L8" s="40" t="s">
        <v>156</v>
      </c>
      <c r="M8" s="40">
        <v>1</v>
      </c>
      <c r="N8" s="40" t="s">
        <v>154</v>
      </c>
      <c r="O8" s="41">
        <v>73.510000000000005</v>
      </c>
      <c r="P8" s="42">
        <f t="shared" si="0"/>
        <v>73.510000000000005</v>
      </c>
    </row>
    <row r="9" spans="1:16" x14ac:dyDescent="0.2">
      <c r="A9" s="9">
        <v>4</v>
      </c>
      <c r="B9" s="5" t="s">
        <v>27</v>
      </c>
      <c r="C9" s="5" t="s">
        <v>168</v>
      </c>
      <c r="D9" s="27" t="s">
        <v>28</v>
      </c>
      <c r="E9" s="5" t="s">
        <v>169</v>
      </c>
      <c r="F9" s="5" t="s">
        <v>25</v>
      </c>
      <c r="G9" s="5" t="s">
        <v>158</v>
      </c>
      <c r="H9" s="5" t="s">
        <v>10</v>
      </c>
      <c r="I9" s="5"/>
      <c r="J9" s="9">
        <v>4</v>
      </c>
      <c r="K9" s="40">
        <v>1</v>
      </c>
      <c r="L9" s="40" t="s">
        <v>159</v>
      </c>
      <c r="M9" s="40">
        <v>1</v>
      </c>
      <c r="N9" s="40" t="s">
        <v>154</v>
      </c>
      <c r="O9" s="41">
        <v>72.34</v>
      </c>
      <c r="P9" s="42">
        <f t="shared" si="0"/>
        <v>72.34</v>
      </c>
    </row>
    <row r="10" spans="1:16" x14ac:dyDescent="0.2">
      <c r="A10" s="9">
        <v>5</v>
      </c>
      <c r="B10" s="5" t="s">
        <v>29</v>
      </c>
      <c r="C10" s="5" t="s">
        <v>170</v>
      </c>
      <c r="D10" s="27" t="s">
        <v>30</v>
      </c>
      <c r="E10" s="5" t="s">
        <v>12</v>
      </c>
      <c r="F10" s="5" t="s">
        <v>31</v>
      </c>
      <c r="G10" s="5" t="s">
        <v>160</v>
      </c>
      <c r="H10" s="5" t="s">
        <v>10</v>
      </c>
      <c r="I10" s="5"/>
      <c r="J10" s="9">
        <v>5</v>
      </c>
      <c r="K10" s="40">
        <v>100</v>
      </c>
      <c r="L10" s="40" t="s">
        <v>156</v>
      </c>
      <c r="M10" s="40">
        <v>1</v>
      </c>
      <c r="N10" s="40" t="s">
        <v>154</v>
      </c>
      <c r="O10" s="41">
        <v>66.400000000000006</v>
      </c>
      <c r="P10" s="42">
        <f t="shared" si="0"/>
        <v>66.400000000000006</v>
      </c>
    </row>
    <row r="11" spans="1:16" x14ac:dyDescent="0.2">
      <c r="A11" s="9" t="s">
        <v>209</v>
      </c>
      <c r="B11" s="5" t="s">
        <v>210</v>
      </c>
      <c r="C11" s="5" t="s">
        <v>171</v>
      </c>
      <c r="D11" s="60" t="s">
        <v>216</v>
      </c>
      <c r="E11" s="5" t="s">
        <v>21</v>
      </c>
      <c r="F11" s="5" t="s">
        <v>128</v>
      </c>
      <c r="G11" s="5" t="s">
        <v>161</v>
      </c>
      <c r="H11" s="5" t="s">
        <v>136</v>
      </c>
      <c r="I11" s="5" t="s">
        <v>11</v>
      </c>
      <c r="J11" s="9">
        <v>6</v>
      </c>
      <c r="K11" s="40">
        <v>5</v>
      </c>
      <c r="L11" s="40" t="s">
        <v>156</v>
      </c>
      <c r="M11" s="40">
        <v>1</v>
      </c>
      <c r="N11" s="40" t="s">
        <v>154</v>
      </c>
      <c r="O11" s="41">
        <v>125.12</v>
      </c>
      <c r="P11" s="42">
        <f t="shared" si="0"/>
        <v>125.12</v>
      </c>
    </row>
    <row r="12" spans="1:16" x14ac:dyDescent="0.2">
      <c r="A12" s="9" t="s">
        <v>211</v>
      </c>
      <c r="B12" s="5" t="s">
        <v>212</v>
      </c>
      <c r="C12" s="5" t="s">
        <v>213</v>
      </c>
      <c r="D12" s="60" t="s">
        <v>216</v>
      </c>
      <c r="E12" s="5" t="s">
        <v>194</v>
      </c>
      <c r="F12" s="5" t="s">
        <v>128</v>
      </c>
      <c r="G12" s="5" t="s">
        <v>286</v>
      </c>
      <c r="H12" s="5" t="s">
        <v>136</v>
      </c>
      <c r="I12" s="5" t="s">
        <v>11</v>
      </c>
      <c r="J12" s="9" t="s">
        <v>195</v>
      </c>
      <c r="K12" s="40">
        <v>25</v>
      </c>
      <c r="L12" s="40" t="s">
        <v>156</v>
      </c>
      <c r="M12" s="40">
        <v>1</v>
      </c>
      <c r="N12" s="40" t="s">
        <v>154</v>
      </c>
      <c r="O12" s="41">
        <v>31.62</v>
      </c>
      <c r="P12" s="42">
        <f t="shared" si="0"/>
        <v>31.62</v>
      </c>
    </row>
    <row r="13" spans="1:16" ht="28" x14ac:dyDescent="0.2">
      <c r="A13" s="9" t="s">
        <v>182</v>
      </c>
      <c r="B13" s="5" t="s">
        <v>183</v>
      </c>
      <c r="C13" s="5" t="s">
        <v>172</v>
      </c>
      <c r="D13" s="27" t="s">
        <v>32</v>
      </c>
      <c r="E13" s="5" t="s">
        <v>33</v>
      </c>
      <c r="F13" s="5" t="s">
        <v>34</v>
      </c>
      <c r="G13" s="5" t="s">
        <v>162</v>
      </c>
      <c r="H13" s="5" t="s">
        <v>35</v>
      </c>
      <c r="I13" s="5" t="s">
        <v>36</v>
      </c>
      <c r="J13" s="9">
        <v>7</v>
      </c>
      <c r="K13" s="40">
        <v>100</v>
      </c>
      <c r="L13" s="40" t="s">
        <v>61</v>
      </c>
      <c r="M13" s="40">
        <v>1</v>
      </c>
      <c r="N13" s="40" t="s">
        <v>154</v>
      </c>
      <c r="O13" s="41">
        <v>331.1</v>
      </c>
      <c r="P13" s="42">
        <f t="shared" si="0"/>
        <v>331.1</v>
      </c>
    </row>
    <row r="14" spans="1:16" ht="28" x14ac:dyDescent="0.2">
      <c r="A14" s="9" t="s">
        <v>184</v>
      </c>
      <c r="B14" s="5" t="s">
        <v>185</v>
      </c>
      <c r="C14" s="5" t="s">
        <v>186</v>
      </c>
      <c r="D14" s="27" t="s">
        <v>187</v>
      </c>
      <c r="E14" s="5" t="s">
        <v>188</v>
      </c>
      <c r="F14" s="5" t="s">
        <v>34</v>
      </c>
      <c r="G14" s="5" t="s">
        <v>189</v>
      </c>
      <c r="H14" s="5" t="s">
        <v>190</v>
      </c>
      <c r="I14" s="5" t="s">
        <v>191</v>
      </c>
      <c r="J14" s="9" t="s">
        <v>192</v>
      </c>
      <c r="K14" s="40">
        <v>1</v>
      </c>
      <c r="L14" s="40" t="s">
        <v>156</v>
      </c>
      <c r="M14" s="40">
        <v>1</v>
      </c>
      <c r="N14" s="40" t="s">
        <v>154</v>
      </c>
      <c r="O14" s="41">
        <v>343</v>
      </c>
      <c r="P14" s="42">
        <f t="shared" si="0"/>
        <v>343</v>
      </c>
    </row>
    <row r="15" spans="1:16" x14ac:dyDescent="0.2">
      <c r="A15" s="9">
        <v>8</v>
      </c>
      <c r="B15" s="5" t="s">
        <v>37</v>
      </c>
      <c r="C15" s="5" t="s">
        <v>173</v>
      </c>
      <c r="D15" s="28" t="s">
        <v>38</v>
      </c>
      <c r="E15" s="5" t="s">
        <v>21</v>
      </c>
      <c r="F15" s="5" t="s">
        <v>39</v>
      </c>
      <c r="G15" s="5" t="s">
        <v>163</v>
      </c>
      <c r="H15" s="5" t="s">
        <v>35</v>
      </c>
      <c r="I15" s="5" t="s">
        <v>40</v>
      </c>
      <c r="J15" s="9">
        <v>8</v>
      </c>
      <c r="K15" s="40">
        <v>5</v>
      </c>
      <c r="L15" s="40" t="s">
        <v>156</v>
      </c>
      <c r="M15" s="40">
        <v>1</v>
      </c>
      <c r="N15" s="40" t="s">
        <v>154</v>
      </c>
      <c r="O15" s="41">
        <v>109.25</v>
      </c>
      <c r="P15" s="42">
        <f t="shared" si="0"/>
        <v>109.25</v>
      </c>
    </row>
    <row r="16" spans="1:16" ht="23" customHeight="1" x14ac:dyDescent="0.2">
      <c r="A16" s="8" t="s">
        <v>41</v>
      </c>
      <c r="B16" s="4" t="s">
        <v>42</v>
      </c>
      <c r="C16" s="4"/>
      <c r="D16" s="26"/>
      <c r="E16" s="4"/>
      <c r="F16" s="4"/>
      <c r="G16" s="4"/>
      <c r="H16" s="4"/>
      <c r="I16" s="4"/>
      <c r="J16" s="4"/>
      <c r="K16" s="4"/>
      <c r="L16" s="4"/>
      <c r="M16" s="4"/>
      <c r="N16" s="4"/>
      <c r="O16" s="43"/>
      <c r="P16" s="43"/>
    </row>
    <row r="17" spans="1:16" x14ac:dyDescent="0.2">
      <c r="A17" s="9">
        <v>9</v>
      </c>
      <c r="B17" s="5" t="s">
        <v>174</v>
      </c>
      <c r="C17" s="5" t="s">
        <v>175</v>
      </c>
      <c r="D17" s="27" t="s">
        <v>43</v>
      </c>
      <c r="E17" s="5" t="s">
        <v>135</v>
      </c>
      <c r="F17" s="5" t="s">
        <v>44</v>
      </c>
      <c r="G17" s="5" t="s">
        <v>164</v>
      </c>
      <c r="H17" s="5" t="s">
        <v>45</v>
      </c>
      <c r="I17" s="5" t="s">
        <v>46</v>
      </c>
      <c r="J17" s="9">
        <v>9</v>
      </c>
      <c r="K17" s="40">
        <v>5</v>
      </c>
      <c r="L17" s="40" t="s">
        <v>156</v>
      </c>
      <c r="M17" s="40">
        <v>1</v>
      </c>
      <c r="N17" s="40" t="s">
        <v>154</v>
      </c>
      <c r="O17" s="41">
        <v>468.31</v>
      </c>
      <c r="P17" s="42">
        <f>M17*O17</f>
        <v>468.31</v>
      </c>
    </row>
    <row r="18" spans="1:16" x14ac:dyDescent="0.2">
      <c r="A18" s="8" t="s">
        <v>47</v>
      </c>
      <c r="B18" s="4" t="s">
        <v>48</v>
      </c>
      <c r="C18" s="4"/>
      <c r="D18" s="26"/>
      <c r="E18" s="4"/>
      <c r="F18" s="4"/>
      <c r="G18" s="4"/>
      <c r="H18" s="4"/>
      <c r="I18" s="4"/>
      <c r="J18" s="4"/>
      <c r="K18" s="4"/>
      <c r="L18" s="4"/>
      <c r="M18" s="4"/>
      <c r="N18" s="4"/>
      <c r="O18" s="43"/>
      <c r="P18" s="43"/>
    </row>
    <row r="19" spans="1:16" x14ac:dyDescent="0.2">
      <c r="A19" s="9">
        <v>10</v>
      </c>
      <c r="B19" s="5" t="s">
        <v>13</v>
      </c>
      <c r="C19" s="5" t="s">
        <v>14</v>
      </c>
      <c r="D19" s="27" t="s">
        <v>15</v>
      </c>
      <c r="E19" s="5" t="s">
        <v>16</v>
      </c>
      <c r="F19" s="5" t="s">
        <v>129</v>
      </c>
      <c r="G19" s="5" t="s">
        <v>54</v>
      </c>
      <c r="H19" s="5" t="s">
        <v>17</v>
      </c>
      <c r="I19" s="5" t="s">
        <v>177</v>
      </c>
      <c r="J19" s="5"/>
      <c r="K19" s="5"/>
      <c r="L19" s="5"/>
      <c r="M19" s="5"/>
      <c r="N19" s="5"/>
      <c r="O19" s="44"/>
      <c r="P19" s="44"/>
    </row>
    <row r="20" spans="1:16" x14ac:dyDescent="0.2">
      <c r="A20" s="9">
        <v>11</v>
      </c>
      <c r="B20" s="5" t="s">
        <v>49</v>
      </c>
      <c r="C20" s="5" t="s">
        <v>50</v>
      </c>
      <c r="D20" s="27" t="s">
        <v>51</v>
      </c>
      <c r="E20" s="5" t="s">
        <v>52</v>
      </c>
      <c r="F20" s="5" t="s">
        <v>53</v>
      </c>
      <c r="G20" s="5" t="s">
        <v>54</v>
      </c>
      <c r="H20" s="5" t="s">
        <v>10</v>
      </c>
      <c r="I20" s="5" t="s">
        <v>177</v>
      </c>
      <c r="J20" s="5"/>
      <c r="K20" s="5"/>
      <c r="L20" s="5"/>
      <c r="M20" s="5"/>
      <c r="N20" s="5"/>
      <c r="O20" s="44"/>
      <c r="P20" s="44"/>
    </row>
    <row r="21" spans="1:16" x14ac:dyDescent="0.2">
      <c r="A21" s="8" t="s">
        <v>287</v>
      </c>
      <c r="B21" s="4" t="s">
        <v>288</v>
      </c>
      <c r="C21" s="4"/>
      <c r="D21" s="26"/>
      <c r="E21" s="4"/>
      <c r="F21" s="4"/>
      <c r="G21" s="4"/>
      <c r="H21" s="4"/>
      <c r="I21" s="4"/>
      <c r="J21" s="4"/>
      <c r="K21" s="4"/>
      <c r="L21" s="4"/>
      <c r="M21" s="4"/>
      <c r="N21" s="4"/>
      <c r="O21" s="43"/>
      <c r="P21" s="43"/>
    </row>
    <row r="22" spans="1:16" ht="28" x14ac:dyDescent="0.2">
      <c r="A22" s="9">
        <v>12</v>
      </c>
      <c r="B22" s="5" t="s">
        <v>289</v>
      </c>
      <c r="C22" s="5" t="s">
        <v>290</v>
      </c>
      <c r="D22" s="27"/>
      <c r="E22" s="5" t="s">
        <v>194</v>
      </c>
      <c r="F22" s="5" t="s">
        <v>291</v>
      </c>
      <c r="G22" s="5" t="s">
        <v>294</v>
      </c>
      <c r="H22" s="5" t="s">
        <v>292</v>
      </c>
      <c r="I22" s="5" t="s">
        <v>293</v>
      </c>
      <c r="J22" s="9"/>
      <c r="K22" s="40">
        <v>50</v>
      </c>
      <c r="L22" s="40" t="s">
        <v>61</v>
      </c>
      <c r="M22" s="40">
        <v>1</v>
      </c>
      <c r="N22" s="40" t="s">
        <v>154</v>
      </c>
      <c r="O22" s="41">
        <v>8750</v>
      </c>
      <c r="P22" s="42">
        <f>M22*O22</f>
        <v>8750</v>
      </c>
    </row>
    <row r="23" spans="1:16" x14ac:dyDescent="0.2">
      <c r="A23" s="47"/>
      <c r="B23" s="47"/>
      <c r="C23" s="47"/>
      <c r="D23" s="48"/>
      <c r="E23" s="47"/>
      <c r="F23" s="47"/>
      <c r="G23" s="47"/>
      <c r="H23" s="47"/>
      <c r="I23" s="47"/>
      <c r="J23" s="47"/>
      <c r="K23" s="47"/>
      <c r="L23" s="47"/>
      <c r="M23" s="47"/>
      <c r="N23" s="47"/>
      <c r="O23" s="49" t="s">
        <v>178</v>
      </c>
      <c r="P23" s="49">
        <f>SUM(P5:P22)</f>
        <v>10976.5</v>
      </c>
    </row>
  </sheetData>
  <pageMargins left="0.7" right="0.7" top="0.75" bottom="0.75" header="0.3" footer="0.3"/>
  <pageSetup orientation="portrait" horizontalDpi="0" verticalDpi="0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298C4E-6FC2-B64E-AFB0-DDD3D77A3C77}">
  <dimension ref="A1:J31"/>
  <sheetViews>
    <sheetView zoomScale="136" zoomScaleNormal="136" workbookViewId="0">
      <selection activeCell="B37" sqref="B37"/>
    </sheetView>
  </sheetViews>
  <sheetFormatPr baseColWidth="10" defaultRowHeight="16" x14ac:dyDescent="0.2"/>
  <cols>
    <col min="1" max="1" width="38.33203125" customWidth="1"/>
    <col min="2" max="2" width="13.33203125" customWidth="1"/>
    <col min="3" max="3" width="9.1640625" customWidth="1"/>
    <col min="4" max="5" width="15.83203125" customWidth="1"/>
    <col min="6" max="6" width="9.1640625" customWidth="1"/>
    <col min="7" max="7" width="15.83203125" customWidth="1"/>
    <col min="8" max="8" width="38.33203125" customWidth="1"/>
    <col min="9" max="10" width="14.1640625" customWidth="1"/>
  </cols>
  <sheetData>
    <row r="1" spans="1:10" ht="18" x14ac:dyDescent="0.2">
      <c r="A1" s="1" t="s">
        <v>55</v>
      </c>
      <c r="B1" s="2"/>
      <c r="C1" s="2"/>
      <c r="D1" s="2"/>
      <c r="E1" s="2"/>
      <c r="F1" s="2"/>
      <c r="G1" s="2"/>
      <c r="H1" s="2"/>
    </row>
    <row r="2" spans="1:10" x14ac:dyDescent="0.2">
      <c r="A2" s="10" t="s">
        <v>56</v>
      </c>
      <c r="B2" s="2"/>
      <c r="C2" s="2"/>
      <c r="D2" s="2"/>
      <c r="E2" s="2"/>
      <c r="F2" s="2"/>
      <c r="G2" s="2"/>
      <c r="H2" s="2"/>
    </row>
    <row r="3" spans="1:10" x14ac:dyDescent="0.2">
      <c r="A3" s="11" t="s">
        <v>257</v>
      </c>
      <c r="B3" s="11"/>
      <c r="C3" s="11"/>
      <c r="D3" s="11"/>
      <c r="E3" s="11"/>
      <c r="F3" s="11"/>
      <c r="G3" s="11"/>
      <c r="H3" s="11"/>
      <c r="I3" s="13" t="s">
        <v>181</v>
      </c>
      <c r="J3" s="13" t="s">
        <v>180</v>
      </c>
    </row>
    <row r="4" spans="1:10" x14ac:dyDescent="0.2">
      <c r="A4" s="12" t="s">
        <v>137</v>
      </c>
      <c r="B4" s="94">
        <v>100</v>
      </c>
      <c r="C4" s="18"/>
      <c r="D4" s="18" t="s">
        <v>138</v>
      </c>
      <c r="E4" s="35">
        <f>E7*E30</f>
        <v>12000</v>
      </c>
      <c r="F4" s="18" t="s">
        <v>140</v>
      </c>
      <c r="G4" s="18"/>
      <c r="H4" s="95" t="s">
        <v>254</v>
      </c>
      <c r="I4" s="51">
        <f>材料清单!K5*材料清单!M5</f>
        <v>500</v>
      </c>
      <c r="J4" t="str">
        <f>IF(I4&gt;=B4,"足够","不足")</f>
        <v>足够</v>
      </c>
    </row>
    <row r="5" spans="1:10" x14ac:dyDescent="0.2">
      <c r="A5" s="12" t="s">
        <v>278</v>
      </c>
      <c r="B5" s="32">
        <v>50</v>
      </c>
      <c r="C5" s="18"/>
      <c r="D5" s="18" t="s">
        <v>258</v>
      </c>
      <c r="E5" s="96">
        <v>5</v>
      </c>
      <c r="F5" s="18" t="s">
        <v>255</v>
      </c>
      <c r="G5" s="18"/>
      <c r="H5" s="12" t="str">
        <f>"检测缓冲液（①+②）= ② "&amp;TEXT(E29*B23,"#,##0.0")&amp;" mL + GLB "&amp;TEXT(E28*B23,"#,##0.0")&amp;" mL（"&amp;E5&amp;":1）；每孔加 "&amp;B5&amp;" µL"</f>
        <v>检测缓冲液（①+②）= ② 500.0 mL + GLB 100.0 mL（5:1）；每孔加 50 µL</v>
      </c>
      <c r="I5" s="52"/>
    </row>
    <row r="6" spans="1:10" x14ac:dyDescent="0.2">
      <c r="A6" s="12" t="s">
        <v>259</v>
      </c>
      <c r="B6" s="97">
        <f>B5/(1+E5)</f>
        <v>8.3333333333333339</v>
      </c>
      <c r="C6" s="18"/>
      <c r="D6" s="18" t="s">
        <v>143</v>
      </c>
      <c r="E6" s="36">
        <f>E7*E29*(1+B8)</f>
        <v>550.00000000000011</v>
      </c>
      <c r="F6" s="18" t="s">
        <v>62</v>
      </c>
      <c r="G6" s="18"/>
      <c r="H6" s="12" t="s">
        <v>261</v>
      </c>
      <c r="I6" s="52"/>
    </row>
    <row r="7" spans="1:10" x14ac:dyDescent="0.2">
      <c r="A7" s="12" t="s">
        <v>260</v>
      </c>
      <c r="B7" s="97">
        <f>B5-B6</f>
        <v>41.666666666666664</v>
      </c>
      <c r="C7" s="18"/>
      <c r="D7" s="18" t="s">
        <v>269</v>
      </c>
      <c r="E7" s="37">
        <f>ROUNDDOWN(ROUND(B4/E28,6),0)</f>
        <v>60</v>
      </c>
      <c r="F7" s="18" t="s">
        <v>270</v>
      </c>
      <c r="G7" s="18"/>
      <c r="H7" s="12" t="s">
        <v>271</v>
      </c>
      <c r="I7" s="52"/>
    </row>
    <row r="8" spans="1:10" x14ac:dyDescent="0.2">
      <c r="A8" s="2" t="s">
        <v>133</v>
      </c>
      <c r="B8" s="33">
        <v>0.1</v>
      </c>
      <c r="C8" s="15"/>
      <c r="D8" s="15" t="s">
        <v>139</v>
      </c>
      <c r="E8" s="34">
        <f>E4/96</f>
        <v>125</v>
      </c>
      <c r="F8" s="15" t="s">
        <v>141</v>
      </c>
      <c r="G8" s="15"/>
      <c r="H8" s="2"/>
      <c r="I8" s="52"/>
    </row>
    <row r="9" spans="1:10" x14ac:dyDescent="0.2">
      <c r="A9" s="11" t="s">
        <v>64</v>
      </c>
      <c r="B9" s="21"/>
      <c r="C9" s="21"/>
      <c r="D9" s="21"/>
      <c r="E9" s="21"/>
      <c r="F9" s="21"/>
      <c r="G9" s="21"/>
      <c r="H9" s="11"/>
      <c r="I9" s="52"/>
    </row>
    <row r="10" spans="1:10" x14ac:dyDescent="0.2">
      <c r="A10" s="2" t="s">
        <v>57</v>
      </c>
      <c r="B10" s="38">
        <f>E6</f>
        <v>550.00000000000011</v>
      </c>
      <c r="C10" s="15"/>
      <c r="D10" s="15"/>
      <c r="E10" s="15"/>
      <c r="F10" s="15"/>
      <c r="G10" s="15"/>
      <c r="H10" s="2" t="s">
        <v>142</v>
      </c>
      <c r="I10" s="52"/>
    </row>
    <row r="11" spans="1:10" ht="28" x14ac:dyDescent="0.2">
      <c r="A11" s="13" t="s">
        <v>58</v>
      </c>
      <c r="B11" s="16" t="s">
        <v>65</v>
      </c>
      <c r="C11" s="16" t="s">
        <v>59</v>
      </c>
      <c r="D11" s="16" t="s">
        <v>66</v>
      </c>
      <c r="E11" s="8" t="s">
        <v>253</v>
      </c>
      <c r="F11" s="16" t="s">
        <v>59</v>
      </c>
      <c r="G11" s="16"/>
      <c r="H11" s="13" t="s">
        <v>8</v>
      </c>
      <c r="I11" s="53" t="s">
        <v>179</v>
      </c>
      <c r="J11" s="13" t="s">
        <v>180</v>
      </c>
    </row>
    <row r="12" spans="1:10" x14ac:dyDescent="0.2">
      <c r="A12" s="12" t="s">
        <v>20</v>
      </c>
      <c r="B12" s="17">
        <v>20</v>
      </c>
      <c r="C12" s="18" t="s">
        <v>60</v>
      </c>
      <c r="D12" s="17">
        <v>179.17</v>
      </c>
      <c r="E12" s="19">
        <f t="shared" ref="E12:E18" si="0">B12*$B$10*D12/1000</f>
        <v>1970.8700000000003</v>
      </c>
      <c r="F12" s="18" t="s">
        <v>61</v>
      </c>
      <c r="G12" s="18"/>
      <c r="H12" s="12" t="s">
        <v>67</v>
      </c>
      <c r="I12" s="51" cm="1">
        <f t="array" ref="I12">材料清单!K7*材料清单!M7*_xlfn.SWITCH(材料清单!L7,"kg",1000000,"g",1000,"mg",1)</f>
        <v>100000</v>
      </c>
      <c r="J12" t="str">
        <f t="shared" ref="J12:J18" si="1">IF(I12&gt;=E12,"足够","不足")</f>
        <v>足够</v>
      </c>
    </row>
    <row r="13" spans="1:10" x14ac:dyDescent="0.2">
      <c r="A13" s="12" t="s">
        <v>68</v>
      </c>
      <c r="B13" s="17">
        <v>1.07</v>
      </c>
      <c r="C13" s="18" t="s">
        <v>60</v>
      </c>
      <c r="D13" s="17">
        <v>485.65</v>
      </c>
      <c r="E13" s="19">
        <f t="shared" si="0"/>
        <v>285.805025</v>
      </c>
      <c r="F13" s="18" t="s">
        <v>61</v>
      </c>
      <c r="G13" s="18"/>
      <c r="H13" s="12" t="s">
        <v>69</v>
      </c>
      <c r="I13" s="51" cm="1">
        <f t="array" ref="I13">材料清单!K8*材料清单!M8*_xlfn.SWITCH(材料清单!L8,"kg",1000000,"g",1000,"mg",1)</f>
        <v>500000</v>
      </c>
      <c r="J13" t="str">
        <f t="shared" si="1"/>
        <v>足够</v>
      </c>
    </row>
    <row r="14" spans="1:10" x14ac:dyDescent="0.2">
      <c r="A14" s="12" t="s">
        <v>70</v>
      </c>
      <c r="B14" s="17">
        <v>2.67</v>
      </c>
      <c r="C14" s="18" t="s">
        <v>60</v>
      </c>
      <c r="D14" s="17">
        <v>246.47</v>
      </c>
      <c r="E14" s="19">
        <f t="shared" si="0"/>
        <v>361.94119500000005</v>
      </c>
      <c r="F14" s="18" t="s">
        <v>61</v>
      </c>
      <c r="G14" s="18"/>
      <c r="H14" s="12"/>
      <c r="I14" s="51" cm="1">
        <f t="array" ref="I14">材料清单!K9*材料清单!M9*_xlfn.SWITCH(材料清单!L9,"kg",1000000,"g",1000,"mg",1)</f>
        <v>1000000</v>
      </c>
      <c r="J14" t="str">
        <f t="shared" si="1"/>
        <v>足够</v>
      </c>
    </row>
    <row r="15" spans="1:10" x14ac:dyDescent="0.2">
      <c r="A15" s="12" t="s">
        <v>71</v>
      </c>
      <c r="B15" s="17">
        <v>0.1</v>
      </c>
      <c r="C15" s="18" t="s">
        <v>60</v>
      </c>
      <c r="D15" s="17">
        <v>372.24</v>
      </c>
      <c r="E15" s="19">
        <f t="shared" si="0"/>
        <v>20.473200000000006</v>
      </c>
      <c r="F15" s="18" t="s">
        <v>61</v>
      </c>
      <c r="G15" s="18"/>
      <c r="H15" s="12"/>
      <c r="I15" s="51" cm="1">
        <f t="array" ref="I15">材料清单!K10*材料清单!M10*_xlfn.SWITCH(材料清单!L10,"kg",1000000,"g",1000,"mg",1)</f>
        <v>100000</v>
      </c>
      <c r="J15" t="str">
        <f t="shared" si="1"/>
        <v>足够</v>
      </c>
    </row>
    <row r="16" spans="1:10" x14ac:dyDescent="0.2">
      <c r="A16" s="12" t="s">
        <v>214</v>
      </c>
      <c r="B16" s="17">
        <v>33.299999999999997</v>
      </c>
      <c r="C16" s="18" t="s">
        <v>60</v>
      </c>
      <c r="D16" s="17">
        <v>154.25</v>
      </c>
      <c r="E16" s="19">
        <f t="shared" si="0"/>
        <v>2825.0887500000003</v>
      </c>
      <c r="F16" s="18" t="s">
        <v>61</v>
      </c>
      <c r="G16" s="18"/>
      <c r="H16" s="12" t="s">
        <v>72</v>
      </c>
      <c r="I16" s="51" cm="1">
        <f t="array" ref="I16">材料清单!K11*材料清单!M11*_xlfn.SWITCH(材料清单!L11,"kg",1000000,"g",1000,"mg",1)+材料清单!K12*材料清单!M12*_xlfn.SWITCH(材料清单!L12,"kg",1000000,"g",1000,"mg",1)</f>
        <v>30000</v>
      </c>
      <c r="J16" t="str">
        <f t="shared" si="1"/>
        <v>足够</v>
      </c>
    </row>
    <row r="17" spans="1:10" x14ac:dyDescent="0.2">
      <c r="A17" s="12" t="s">
        <v>196</v>
      </c>
      <c r="B17" s="17">
        <v>0.27</v>
      </c>
      <c r="C17" s="18" t="s">
        <v>60</v>
      </c>
      <c r="D17" s="17">
        <v>767.53</v>
      </c>
      <c r="E17" s="19">
        <f t="shared" si="0"/>
        <v>113.97820500000002</v>
      </c>
      <c r="F17" s="18" t="s">
        <v>61</v>
      </c>
      <c r="G17" s="18"/>
      <c r="H17" s="12" t="s">
        <v>197</v>
      </c>
      <c r="I17" s="51" cm="1">
        <f t="array" ref="I17">材料清单!K14*材料清单!M14*_xlfn.SWITCH(材料清单!L14,"kg",1000000,"g",1000,"mg",1)</f>
        <v>1000</v>
      </c>
      <c r="J17" t="str">
        <f t="shared" si="1"/>
        <v>足够</v>
      </c>
    </row>
    <row r="18" spans="1:10" x14ac:dyDescent="0.2">
      <c r="A18" s="12" t="s">
        <v>73</v>
      </c>
      <c r="B18" s="17">
        <v>0.53</v>
      </c>
      <c r="C18" s="18" t="s">
        <v>60</v>
      </c>
      <c r="D18" s="17">
        <v>551.14</v>
      </c>
      <c r="E18" s="19">
        <f t="shared" si="0"/>
        <v>160.65731000000002</v>
      </c>
      <c r="F18" s="18" t="s">
        <v>61</v>
      </c>
      <c r="G18" s="18"/>
      <c r="H18" s="12" t="s">
        <v>74</v>
      </c>
      <c r="I18" s="51" cm="1">
        <f t="array" ref="I18">材料清单!K15*材料清单!M15*_xlfn.SWITCH(材料清单!L15,"kg",1000000,"g",1000,"mg",1)</f>
        <v>5000</v>
      </c>
      <c r="J18" t="str">
        <f t="shared" si="1"/>
        <v>足够</v>
      </c>
    </row>
    <row r="19" spans="1:10" x14ac:dyDescent="0.2">
      <c r="A19" s="12" t="s">
        <v>49</v>
      </c>
      <c r="B19" s="18" t="s">
        <v>63</v>
      </c>
      <c r="C19" s="18" t="s">
        <v>54</v>
      </c>
      <c r="D19" s="18"/>
      <c r="E19" s="19">
        <f>$B$10</f>
        <v>550.00000000000011</v>
      </c>
      <c r="F19" s="18" t="s">
        <v>62</v>
      </c>
      <c r="G19" s="18"/>
      <c r="H19" s="12"/>
      <c r="I19" s="52"/>
    </row>
    <row r="20" spans="1:10" x14ac:dyDescent="0.2">
      <c r="A20" s="12" t="s">
        <v>75</v>
      </c>
      <c r="B20" s="17">
        <v>7.8</v>
      </c>
      <c r="C20" s="18"/>
      <c r="D20" s="18"/>
      <c r="E20" s="18"/>
      <c r="F20" s="18"/>
      <c r="G20" s="18"/>
      <c r="H20" s="12" t="s">
        <v>76</v>
      </c>
      <c r="I20" s="52"/>
    </row>
    <row r="21" spans="1:10" x14ac:dyDescent="0.2">
      <c r="A21" s="11" t="s">
        <v>264</v>
      </c>
      <c r="B21" s="21"/>
      <c r="C21" s="21"/>
      <c r="D21" s="21"/>
      <c r="E21" s="21"/>
      <c r="F21" s="21"/>
      <c r="G21" s="21"/>
      <c r="H21" s="11"/>
      <c r="I21" s="52"/>
    </row>
    <row r="22" spans="1:10" x14ac:dyDescent="0.2">
      <c r="A22" s="2" t="s">
        <v>265</v>
      </c>
      <c r="B22" s="14">
        <v>10</v>
      </c>
      <c r="C22" s="15"/>
      <c r="D22" s="15"/>
      <c r="E22" s="15"/>
      <c r="F22" s="15"/>
      <c r="G22" s="15"/>
      <c r="H22" s="2"/>
      <c r="I22" s="52"/>
    </row>
    <row r="23" spans="1:10" x14ac:dyDescent="0.2">
      <c r="A23" s="2" t="s">
        <v>266</v>
      </c>
      <c r="B23" s="39">
        <f>E7</f>
        <v>60</v>
      </c>
      <c r="C23" s="15"/>
      <c r="D23" s="15"/>
      <c r="E23" s="15"/>
      <c r="F23" s="15"/>
      <c r="G23" s="15"/>
      <c r="H23" s="2" t="s">
        <v>267</v>
      </c>
      <c r="I23" s="52"/>
    </row>
    <row r="24" spans="1:10" x14ac:dyDescent="0.2">
      <c r="A24" s="2" t="s">
        <v>268</v>
      </c>
      <c r="B24" s="14">
        <v>0.47</v>
      </c>
      <c r="C24" s="15"/>
      <c r="D24" s="15"/>
      <c r="E24" s="15"/>
      <c r="F24" s="15"/>
      <c r="G24" s="15"/>
      <c r="H24" s="2"/>
      <c r="I24" s="52"/>
    </row>
    <row r="25" spans="1:10" x14ac:dyDescent="0.2">
      <c r="A25" s="2" t="s">
        <v>263</v>
      </c>
      <c r="B25" s="14">
        <v>0.5</v>
      </c>
      <c r="C25" s="15"/>
      <c r="D25" s="15"/>
      <c r="E25" s="15"/>
      <c r="F25" s="15"/>
      <c r="G25" s="15"/>
      <c r="H25" s="2"/>
      <c r="I25" s="52"/>
    </row>
    <row r="26" spans="1:10" x14ac:dyDescent="0.2">
      <c r="A26" s="13" t="s">
        <v>58</v>
      </c>
      <c r="B26" s="16" t="s">
        <v>77</v>
      </c>
      <c r="C26" s="16"/>
      <c r="D26" s="16" t="s">
        <v>66</v>
      </c>
      <c r="E26" s="16" t="s">
        <v>272</v>
      </c>
      <c r="F26" s="16" t="s">
        <v>78</v>
      </c>
      <c r="G26" s="16" t="s">
        <v>277</v>
      </c>
      <c r="H26" s="13" t="s">
        <v>8</v>
      </c>
      <c r="I26" s="53" t="s">
        <v>179</v>
      </c>
      <c r="J26" s="13" t="s">
        <v>180</v>
      </c>
    </row>
    <row r="27" spans="1:10" x14ac:dyDescent="0.2">
      <c r="A27" s="12" t="s">
        <v>174</v>
      </c>
      <c r="B27" s="20">
        <f>$B$24</f>
        <v>0.47</v>
      </c>
      <c r="C27" s="18"/>
      <c r="D27" s="17">
        <v>318.41000000000003</v>
      </c>
      <c r="E27" s="22">
        <f>B27*$B$22*D27/1000</f>
        <v>1.4965269999999997</v>
      </c>
      <c r="F27" s="22">
        <f>E27*$B$23</f>
        <v>89.79161999999998</v>
      </c>
      <c r="G27" s="20">
        <f>B27*$B$22/$B$25</f>
        <v>9.3999999999999986</v>
      </c>
      <c r="H27" s="12" t="s">
        <v>273</v>
      </c>
      <c r="I27" s="51" cm="1">
        <f t="array" ref="I27">材料清单!K17*材料清单!M17*_xlfn.SWITCH(材料清单!L17,"kg",1000000,"g",1000,"mg",1)</f>
        <v>5000</v>
      </c>
      <c r="J27" t="str">
        <f>IF(I27&gt;=F27,"足够","不足")</f>
        <v>足够</v>
      </c>
    </row>
    <row r="28" spans="1:10" x14ac:dyDescent="0.2">
      <c r="A28" s="12" t="s">
        <v>274</v>
      </c>
      <c r="B28" s="18"/>
      <c r="C28" s="18"/>
      <c r="D28" s="18"/>
      <c r="E28" s="20">
        <f>$B$22/(1+$E$5)</f>
        <v>1.6666666666666667</v>
      </c>
      <c r="F28" s="18" t="s">
        <v>62</v>
      </c>
      <c r="G28" s="18"/>
      <c r="H28" s="12"/>
    </row>
    <row r="29" spans="1:10" x14ac:dyDescent="0.2">
      <c r="A29" s="12" t="s">
        <v>275</v>
      </c>
      <c r="B29" s="18"/>
      <c r="C29" s="18"/>
      <c r="D29" s="18"/>
      <c r="E29" s="20">
        <f>$B$22-E28</f>
        <v>8.3333333333333339</v>
      </c>
      <c r="F29" s="18" t="s">
        <v>62</v>
      </c>
      <c r="G29" s="18"/>
      <c r="H29" s="12"/>
    </row>
    <row r="30" spans="1:10" x14ac:dyDescent="0.2">
      <c r="A30" s="12" t="s">
        <v>276</v>
      </c>
      <c r="B30" s="18"/>
      <c r="C30" s="18"/>
      <c r="D30" s="18"/>
      <c r="E30" s="24">
        <f>$B$22*1000/$B$5</f>
        <v>200</v>
      </c>
      <c r="F30" s="18" t="s">
        <v>140</v>
      </c>
      <c r="G30" s="18"/>
      <c r="H30" s="12"/>
    </row>
    <row r="31" spans="1:10" x14ac:dyDescent="0.2">
      <c r="A31" s="12" t="s">
        <v>262</v>
      </c>
      <c r="B31" s="18"/>
      <c r="C31" s="18"/>
      <c r="D31" s="18"/>
      <c r="E31" s="23" t="str">
        <f>IF($B$10&gt;=E29*$B$23,"足够","不足，请增加②体积")</f>
        <v>足够</v>
      </c>
      <c r="F31" s="18"/>
    </row>
  </sheetData>
  <pageMargins left="0.7" right="0.7" top="0.75" bottom="0.75" header="0.3" footer="0.3"/>
  <pageSetup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47E642-1A9F-6049-BEFB-5F15C4661812}">
  <dimension ref="A1:B24"/>
  <sheetViews>
    <sheetView zoomScale="168" zoomScaleNormal="168" workbookViewId="0">
      <selection activeCell="B29" sqref="B29"/>
    </sheetView>
  </sheetViews>
  <sheetFormatPr baseColWidth="10" defaultRowHeight="16" x14ac:dyDescent="0.2"/>
  <cols>
    <col min="1" max="1" width="37.1640625" customWidth="1"/>
    <col min="2" max="2" width="103.33203125" customWidth="1"/>
  </cols>
  <sheetData>
    <row r="1" spans="1:2" ht="18" x14ac:dyDescent="0.2">
      <c r="A1" s="1" t="s">
        <v>79</v>
      </c>
      <c r="B1" s="99" t="str">
        <f>"即用型：①+②+③ 一次性混合后分装 "&amp;配方计算!B23&amp;" 管 × "&amp;配方计算!B22&amp;" mL，每管可测 "&amp;TEXT(配方计算!E30,"#,##0")&amp;" 孔；使用时解冻即用。文中用量自动引用「配方计算」。"</f>
        <v>即用型：①+②+③ 一次性混合后分装 60 管 × 10 mL，每管可测 200 孔；使用时解冻即用。文中用量自动引用「配方计算」。</v>
      </c>
    </row>
    <row r="2" spans="1:2" x14ac:dyDescent="0.2">
      <c r="A2" s="6" t="s">
        <v>80</v>
      </c>
      <c r="B2" s="6" t="s">
        <v>81</v>
      </c>
    </row>
    <row r="3" spans="1:2" ht="28" x14ac:dyDescent="0.2">
      <c r="A3" s="8" t="str">
        <f>"① 细胞裂解液（Promega Glo Lysis Buffer, 1X, E2661"</f>
        <v>① 细胞裂解液（Promega Glo Lysis Buffer, 1X, E2661</v>
      </c>
      <c r="B3" s="4"/>
    </row>
    <row r="4" spans="1:2" x14ac:dyDescent="0.2">
      <c r="A4" s="9">
        <v>1</v>
      </c>
      <c r="B4" s="5" t="str">
        <f>"GLB 为 1X 即用型，无需稀释。本批用量 "&amp;配方计算!B4&amp;" mL，可分装 "&amp;配方计算!B23&amp;" 管，检测约 "&amp;TEXT(配方计算!E4,"#,##0")&amp;" 孔。"</f>
        <v>GLB 为 1X 即用型，无需稀释。本批用量 100 mL，可分装 60 管，检测约 12,000 孔。</v>
      </c>
    </row>
    <row r="5" spans="1:2" x14ac:dyDescent="0.2">
      <c r="A5" s="9">
        <v>2</v>
      </c>
      <c r="B5" s="5" t="s">
        <v>256</v>
      </c>
    </row>
    <row r="6" spans="1:2" x14ac:dyDescent="0.2">
      <c r="A6" s="9">
        <v>3</v>
      </c>
      <c r="B6" s="5" t="str">
        <f>"GLB 不单独加到细胞里：在 ② 第 5 步按 "&amp;配方计算!E5&amp;":1 预混进检测缓冲液（对应 ONE-Glo Assay Buffer 自带裂解成分）。"</f>
        <v>GLB 不单独加到细胞里：在 ② 第 5 步按 5:1 预混进检测缓冲液（对应 ONE-Glo Assay Buffer 自带裂解成分）。</v>
      </c>
    </row>
    <row r="7" spans="1:2" x14ac:dyDescent="0.2">
      <c r="A7" s="8" t="s">
        <v>82</v>
      </c>
      <c r="B7" s="4"/>
    </row>
    <row r="8" spans="1:2" x14ac:dyDescent="0.2">
      <c r="A8" s="9">
        <v>1</v>
      </c>
      <c r="B8" s="5" t="str">
        <f>"目标配制体积 "&amp;TEXT(配方计算!B10,"#,##0")&amp;" mL。先用约 "&amp;TEXT(配方计算!B10*0.8,"#,##0")&amp;" mL（80%）超纯水溶解 Tricine "&amp;TEXT(配方计算!E12/1000,"0.00")&amp;" g。"</f>
        <v>目标配制体积 550 mL。先用约 440 mL（80%）超纯水溶解 Tricine 1.97 g。</v>
      </c>
    </row>
    <row r="9" spans="1:2" x14ac:dyDescent="0.2">
      <c r="A9" s="9">
        <v>2</v>
      </c>
      <c r="B9" s="5" t="str">
        <f>"加入碱式碳酸镁五水 "&amp;TEXT(配方计算!E13,"#,##0.0")&amp;" mg，持续搅拌至完全溶解（会释放 CO2，约 15–30 分钟）。"</f>
        <v>加入碱式碳酸镁五水 285.8 mg，持续搅拌至完全溶解（会释放 CO2，约 15–30 分钟）。</v>
      </c>
    </row>
    <row r="10" spans="1:2" x14ac:dyDescent="0.2">
      <c r="A10" s="9">
        <v>3</v>
      </c>
      <c r="B10" s="5" t="str">
        <f>"加入 MgSO4·7H2O "&amp;TEXT(配方计算!E14,"#,##0.0")&amp;" mg 和 EDTA 二钠二水 "&amp;TEXT(配方计算!E15,"#,##0.0")&amp;" mg，溶解后用 NaOH / HCl 调 pH 至 "&amp;配方计算!B20&amp;"。"</f>
        <v>加入 MgSO4·7H2O 361.9 mg 和 EDTA 二钠二水 20.5 mg，溶解后用 NaOH / HCl 调 pH 至 7.8。</v>
      </c>
    </row>
    <row r="11" spans="1:2" ht="28" x14ac:dyDescent="0.2">
      <c r="A11" s="9">
        <v>4</v>
      </c>
      <c r="B11" s="5" t="str">
        <f>"依次加入 DTT "&amp;TEXT(配方计算!E16/1000,"0.00")&amp;" g、辅酶 A 游离酸 "&amp;TEXT(配方计算!E17,"#,##0.0")&amp;" mg、ATP 二钠盐 "&amp;TEXT(配方计算!E18,"#,##0.0")&amp;" mg（不耐热，勿加热）。辅酶 A 游离酸偏酸，全部溶解后务必复核 pH "&amp;配方计算!B20&amp;"，再用超纯水定容至 "&amp;TEXT(配方计算!B10,"#,##0")&amp;" mL。"</f>
        <v>依次加入 DTT 2.83 g、辅酶 A 游离酸 114.0 mg、ATP 二钠盐 160.7 mg（不耐热，勿加热）。辅酶 A 游离酸偏酸，全部溶解后务必复核 pH 7.8，再用超纯水定容至 550 mL。</v>
      </c>
    </row>
    <row r="12" spans="1:2" ht="28" x14ac:dyDescent="0.2">
      <c r="A12" s="9">
        <v>5</v>
      </c>
      <c r="B12" s="5" t="str">
        <f>"0.22 µm 过滤后一次性混合：取 ② "&amp;TEXT(配方计算!E29*配方计算!B23,"#,##0.0")&amp;" mL 于大瓶中，加入全部 GLB "&amp;TEXT(配方计算!E28*配方计算!B23,"#,##0.0")&amp;" mL（"&amp;配方计算!E5&amp;":1），轻柔颠倒混匀、避免起泡，得到 "&amp;TEXT(配方计算!B22*配方计算!B23,"#,##0")&amp;" mL 检测缓冲液（①+②）。先不分装，当天直接进行 ③。余下 ② 约 "&amp;TEXT(配方计算!B10-配方计算!E29*配方计算!B23,"#,##0")&amp;" mL 为过滤损耗余量。"</f>
        <v>0.22 µm 过滤后一次性混合：取 ② 500.0 mL 于大瓶中，加入全部 GLB 100.0 mL（5:1），轻柔颠倒混匀、避免起泡，得到 600 mL 检测缓冲液（①+②）。先不分装，当天直接进行 ③。余下 ② 约 50 mL 为过滤损耗余量。</v>
      </c>
    </row>
    <row r="13" spans="1:2" x14ac:dyDescent="0.2">
      <c r="A13" s="8" t="s">
        <v>285</v>
      </c>
      <c r="B13" s="4"/>
    </row>
    <row r="14" spans="1:2" x14ac:dyDescent="0.2">
      <c r="A14" s="9">
        <v>1</v>
      </c>
      <c r="B14" s="5" t="str">
        <f>"避光操作。用分析天平（0.1 mg）一次称取 D-萤光素钾盐 "&amp;TEXT(配方计算!F27,"#,##0.0")&amp;" mg。"</f>
        <v>避光操作。用分析天平（0.1 mg）一次称取 D-萤光素钾盐 89.8 mg。</v>
      </c>
    </row>
    <row r="15" spans="1:2" x14ac:dyDescent="0.2">
      <c r="A15" s="9">
        <v>2</v>
      </c>
      <c r="B15" s="5" t="str">
        <f>"直接加入 ② 第 5 步的 "&amp;TEXT(配方计算!B22*配方计算!B23,"#,##0")&amp;" mL 检测缓冲液中，避光轻柔搅拌或颠倒至完全溶解（终浓度约 "&amp;配方计算!B24&amp;" mM），避免起泡。"</f>
        <v>直接加入 ② 第 5 步的 600 mL 检测缓冲液中，避光轻柔搅拌或颠倒至完全溶解（终浓度约 0.47 mM），避免起泡。</v>
      </c>
    </row>
    <row r="16" spans="1:2" x14ac:dyDescent="0.2">
      <c r="A16" s="9">
        <v>3</v>
      </c>
      <c r="B16" s="5" t="str">
        <f>"立即按每管 "&amp;配方计算!B22&amp;" mL 分装 "&amp;配方计算!B23&amp;" 管（棕色或锡箔包裹的离心管），−80 °C 避光冻存，每管一次性使用。"</f>
        <v>立即按每管 10 mL 分装 60 管（棕色或锡箔包裹的离心管），−80 °C 避光冻存，每管一次性使用。</v>
      </c>
    </row>
    <row r="17" spans="1:2" x14ac:dyDescent="0.2">
      <c r="A17" s="9">
        <v>4</v>
      </c>
      <c r="B17" s="5" t="str">
        <f>"液体状态稳定性不如固体：建议 1–2 个月内用完，并在第 1、2、4、8 周各取 1 管用阳性对照测信号，确认有效期。"</f>
        <v>液体状态稳定性不如固体：建议 1–2 个月内用完，并在第 1、2、4、8 周各取 1 管用阳性对照测信号，确认有效期。</v>
      </c>
    </row>
    <row r="18" spans="1:2" x14ac:dyDescent="0.2">
      <c r="A18" s="9">
        <v>5</v>
      </c>
      <c r="B18" s="5" t="str">
        <f>"成品 = "&amp;配方计算!B23&amp;" 管即用型检测试剂（①+②+③），每管可测 "&amp;TEXT(配方计算!E30,"#,##0")&amp;" 孔（约 "&amp;TEXT(配方计算!E30/96,"0.0")&amp;" 块 96 孔板）。"</f>
        <v>成品 = 60 管即用型检测试剂（①+②+③），每管可测 200 孔（约 2.1 块 96 孔板）。</v>
      </c>
    </row>
    <row r="19" spans="1:2" ht="28" x14ac:dyDescent="0.2">
      <c r="A19" s="8" t="str">
        <f>"④ 每次使用（解冻即用，参照 ONE-Glo：试剂与培养基等体积，每孔 "&amp;配方计算!B5&amp;" µL）"</f>
        <v>④ 每次使用（解冻即用，参照 ONE-Glo：试剂与培养基等体积，每孔 50 µL）</v>
      </c>
      <c r="B19" s="4"/>
    </row>
    <row r="20" spans="1:2" ht="28" x14ac:dyDescent="0.2">
      <c r="A20" s="9">
        <v>1</v>
      </c>
      <c r="B20" s="5" t="str">
        <f>"取 1 管，室温避光解冻（或室温水浴），与细胞板一起平衡至室温。细胞种于白色不透明 96 孔板，每孔 "&amp;配方计算!B5&amp;" µL 培养基（与试剂等体积）；若培养体积为 100 µL，检测前先吸去 "&amp;(100-配方计算!B5)&amp;" µL 培养基。"</f>
        <v>取 1 管，室温避光解冻（或室温水浴），与细胞板一起平衡至室温。细胞种于白色不透明 96 孔板，每孔 50 µL 培养基（与试剂等体积）；若培养体积为 100 µL，检测前先吸去 50 µL 培养基。</v>
      </c>
    </row>
    <row r="21" spans="1:2" x14ac:dyDescent="0.2">
      <c r="A21" s="9">
        <v>2</v>
      </c>
      <c r="B21" s="5" t="str">
        <f>"解冻后轻柔颠倒混匀（可能轻微分层），无需其他配制。剩余试剂当天弃去，不要再次冻存。"</f>
        <v>解冻后轻柔颠倒混匀（可能轻微分层），无需其他配制。剩余试剂当天弃去，不要再次冻存。</v>
      </c>
    </row>
    <row r="22" spans="1:2" x14ac:dyDescent="0.2">
      <c r="A22" s="9">
        <v>3</v>
      </c>
      <c r="B22" s="5" t="str">
        <f>"不吸培养基、不洗细胞，每孔直接加入一步法试剂 "&amp;配方计算!B5&amp;" µL（与培养基等体积）。"</f>
        <v>不吸培养基、不洗细胞，每孔直接加入一步法试剂 50 µL（与培养基等体积）。</v>
      </c>
    </row>
    <row r="23" spans="1:2" x14ac:dyDescent="0.2">
      <c r="A23" s="9">
        <v>4</v>
      </c>
      <c r="B23" s="5" t="str">
        <f>"轨道摇床 300–600 rpm 混匀 1–3 分钟，室温孵育至少 3 分钟，使细胞裂解、信号稳定。"</f>
        <v>轨道摇床 300–600 rpm 混匀 1–3 分钟，室温孵育至少 3 分钟，使细胞裂解、信号稳定。</v>
      </c>
    </row>
    <row r="24" spans="1:2" x14ac:dyDescent="0.2">
      <c r="A24" s="9">
        <v>5</v>
      </c>
      <c r="B24" s="5" t="str">
        <f>"读取发光值（RLU），积分时间按仪器调整（常用 0.5–1 秒/孔）。同一板内尽量在相同时间窗内读完。"</f>
        <v>读取发光值（RLU），积分时间按仪器调整（常用 0.5–1 秒/孔）。同一板内尽量在相同时间窗内读完。</v>
      </c>
    </row>
  </sheetData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D15BA9-6880-9241-A9AE-87CE684BFAB6}">
  <dimension ref="A1:D14"/>
  <sheetViews>
    <sheetView zoomScale="153" zoomScaleNormal="153" workbookViewId="0"/>
  </sheetViews>
  <sheetFormatPr baseColWidth="10" defaultRowHeight="16" x14ac:dyDescent="0.2"/>
  <cols>
    <col min="1" max="1" width="10" customWidth="1"/>
    <col min="2" max="2" width="36.6640625" customWidth="1"/>
    <col min="3" max="3" width="46.6640625" customWidth="1"/>
    <col min="4" max="4" width="50" customWidth="1"/>
  </cols>
  <sheetData>
    <row r="1" spans="1:4" ht="18" x14ac:dyDescent="0.2">
      <c r="A1" s="1" t="s">
        <v>83</v>
      </c>
      <c r="B1" s="2"/>
      <c r="C1" s="2"/>
      <c r="D1" s="2"/>
    </row>
    <row r="2" spans="1:4" x14ac:dyDescent="0.2">
      <c r="A2" s="6" t="s">
        <v>84</v>
      </c>
      <c r="B2" s="6" t="s">
        <v>85</v>
      </c>
      <c r="C2" s="6" t="s">
        <v>86</v>
      </c>
      <c r="D2" s="6" t="s">
        <v>113</v>
      </c>
    </row>
    <row r="3" spans="1:4" x14ac:dyDescent="0.2">
      <c r="A3" s="5" t="s">
        <v>87</v>
      </c>
      <c r="B3" s="5" t="s">
        <v>88</v>
      </c>
      <c r="C3" s="5" t="s">
        <v>89</v>
      </c>
      <c r="D3" s="5" t="s">
        <v>114</v>
      </c>
    </row>
    <row r="4" spans="1:4" x14ac:dyDescent="0.2">
      <c r="A4" s="5" t="s">
        <v>87</v>
      </c>
      <c r="B4" s="5" t="s">
        <v>90</v>
      </c>
      <c r="C4" s="5" t="s">
        <v>91</v>
      </c>
      <c r="D4" s="5" t="s">
        <v>115</v>
      </c>
    </row>
    <row r="5" spans="1:4" x14ac:dyDescent="0.2">
      <c r="A5" s="5" t="s">
        <v>87</v>
      </c>
      <c r="B5" s="5" t="s">
        <v>92</v>
      </c>
      <c r="C5" s="5" t="s">
        <v>93</v>
      </c>
      <c r="D5" s="5" t="s">
        <v>116</v>
      </c>
    </row>
    <row r="6" spans="1:4" x14ac:dyDescent="0.2">
      <c r="A6" s="5" t="s">
        <v>87</v>
      </c>
      <c r="B6" s="5" t="s">
        <v>94</v>
      </c>
      <c r="C6" s="5" t="s">
        <v>95</v>
      </c>
      <c r="D6" s="5" t="s">
        <v>117</v>
      </c>
    </row>
    <row r="7" spans="1:4" x14ac:dyDescent="0.2">
      <c r="A7" s="5" t="s">
        <v>87</v>
      </c>
      <c r="B7" s="5" t="s">
        <v>96</v>
      </c>
      <c r="C7" s="5" t="s">
        <v>97</v>
      </c>
      <c r="D7" s="5" t="s">
        <v>118</v>
      </c>
    </row>
    <row r="8" spans="1:4" x14ac:dyDescent="0.2">
      <c r="A8" s="5" t="s">
        <v>87</v>
      </c>
      <c r="B8" s="5" t="s">
        <v>98</v>
      </c>
      <c r="C8" s="5" t="s">
        <v>99</v>
      </c>
      <c r="D8" s="5" t="s">
        <v>119</v>
      </c>
    </row>
    <row r="9" spans="1:4" x14ac:dyDescent="0.2">
      <c r="A9" s="5" t="s">
        <v>87</v>
      </c>
      <c r="B9" s="5" t="s">
        <v>100</v>
      </c>
      <c r="C9" s="5" t="s">
        <v>101</v>
      </c>
      <c r="D9" s="5" t="s">
        <v>120</v>
      </c>
    </row>
    <row r="10" spans="1:4" x14ac:dyDescent="0.2">
      <c r="A10" s="5" t="s">
        <v>102</v>
      </c>
      <c r="B10" s="5" t="s">
        <v>103</v>
      </c>
      <c r="C10" s="5" t="s">
        <v>104</v>
      </c>
      <c r="D10" s="5" t="s">
        <v>121</v>
      </c>
    </row>
    <row r="11" spans="1:4" x14ac:dyDescent="0.2">
      <c r="A11" s="5" t="s">
        <v>102</v>
      </c>
      <c r="B11" s="5" t="s">
        <v>105</v>
      </c>
      <c r="C11" s="5" t="s">
        <v>106</v>
      </c>
      <c r="D11" s="5" t="s">
        <v>122</v>
      </c>
    </row>
    <row r="12" spans="1:4" x14ac:dyDescent="0.2">
      <c r="A12" s="5" t="s">
        <v>102</v>
      </c>
      <c r="B12" s="5" t="s">
        <v>107</v>
      </c>
      <c r="C12" s="5" t="s">
        <v>108</v>
      </c>
      <c r="D12" s="5" t="s">
        <v>123</v>
      </c>
    </row>
    <row r="13" spans="1:4" x14ac:dyDescent="0.2">
      <c r="A13" s="5" t="s">
        <v>102</v>
      </c>
      <c r="B13" s="5" t="s">
        <v>109</v>
      </c>
      <c r="C13" s="5" t="s">
        <v>110</v>
      </c>
      <c r="D13" s="5" t="s">
        <v>124</v>
      </c>
    </row>
    <row r="14" spans="1:4" x14ac:dyDescent="0.2">
      <c r="A14" s="5" t="s">
        <v>102</v>
      </c>
      <c r="B14" s="5" t="s">
        <v>111</v>
      </c>
      <c r="C14" s="5" t="s">
        <v>112</v>
      </c>
      <c r="D14" s="5" t="s">
        <v>125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48CAD4-652A-2D46-A951-C9584EE78225}">
  <dimension ref="A1:J46"/>
  <sheetViews>
    <sheetView showGridLines="0" zoomScale="126" zoomScaleNormal="126" workbookViewId="0">
      <selection activeCell="M36" sqref="M36"/>
    </sheetView>
  </sheetViews>
  <sheetFormatPr baseColWidth="10" defaultRowHeight="16" x14ac:dyDescent="0.2"/>
  <cols>
    <col min="1" max="1" width="31.6640625" customWidth="1"/>
    <col min="2" max="10" width="15.33203125" customWidth="1"/>
  </cols>
  <sheetData>
    <row r="1" spans="1:10" ht="22" x14ac:dyDescent="0.3">
      <c r="A1" s="61" t="s">
        <v>218</v>
      </c>
    </row>
    <row r="2" spans="1:10" x14ac:dyDescent="0.2">
      <c r="A2" s="62" t="s">
        <v>219</v>
      </c>
    </row>
    <row r="4" spans="1:10" x14ac:dyDescent="0.2">
      <c r="A4" s="54" t="s">
        <v>220</v>
      </c>
      <c r="B4" s="54"/>
      <c r="C4" s="54"/>
      <c r="D4" s="54"/>
      <c r="E4" s="54"/>
      <c r="F4" s="54"/>
      <c r="G4" s="54"/>
      <c r="H4" s="54"/>
      <c r="I4" s="54"/>
      <c r="J4" s="54"/>
    </row>
    <row r="5" spans="1:10" x14ac:dyDescent="0.2">
      <c r="A5" s="109" t="s">
        <v>221</v>
      </c>
      <c r="B5" s="115"/>
      <c r="C5" s="119" t="s">
        <v>222</v>
      </c>
      <c r="D5" s="120"/>
      <c r="E5" s="103" t="s">
        <v>223</v>
      </c>
      <c r="F5" s="104"/>
      <c r="G5" s="109" t="s">
        <v>224</v>
      </c>
      <c r="H5" s="110"/>
    </row>
    <row r="6" spans="1:10" ht="34" customHeight="1" x14ac:dyDescent="0.35">
      <c r="A6" s="116">
        <f>I38</f>
        <v>3.0609582209380152E-2</v>
      </c>
      <c r="B6" s="117"/>
      <c r="C6" s="121">
        <f>B10/B13+I37</f>
        <v>0.60649999999999993</v>
      </c>
      <c r="D6" s="122"/>
      <c r="E6" s="105">
        <f>C6/A6</f>
        <v>19.814056782981542</v>
      </c>
      <c r="F6" s="106"/>
      <c r="G6" s="111">
        <f>G23</f>
        <v>6910.6850134874376</v>
      </c>
      <c r="H6" s="112"/>
    </row>
    <row r="7" spans="1:10" x14ac:dyDescent="0.2">
      <c r="A7" s="113" t="str">
        <f>"每孔 "&amp;TEXT(B14,"0")&amp;" µL 试剂 + "&amp;B17&amp;" µg Fluc mRNA"</f>
        <v>每孔 50 µL 试剂 + 0.1 µg Fluc mRNA</v>
      </c>
      <c r="B7" s="118"/>
      <c r="C7" s="123" t="str">
        <f>"每盒 "&amp;TEXT(B13,"#,##0")&amp;" 孔（"&amp;B12&amp;" µL/孔）+ "&amp;B17&amp;" µg mRNA"</f>
        <v>每盒 2,000 孔（50 µL/孔）+ 0.1 µg mRNA</v>
      </c>
      <c r="D7" s="124"/>
      <c r="E7" s="107" t="str">
        <f>"按每孔成本计算"</f>
        <v>按每孔成本计算</v>
      </c>
      <c r="F7" s="108"/>
      <c r="G7" s="113" t="str">
        <f>TEXT(B15,"#,##0")&amp;" 孔，均按实际消耗折算"</f>
        <v>12,000 孔，均按实际消耗折算</v>
      </c>
      <c r="H7" s="114"/>
    </row>
    <row r="9" spans="1:10" x14ac:dyDescent="0.2">
      <c r="A9" s="54" t="s">
        <v>225</v>
      </c>
      <c r="B9" s="54"/>
      <c r="C9" s="54"/>
      <c r="D9" s="54"/>
      <c r="E9" s="54"/>
      <c r="F9" s="54"/>
      <c r="G9" s="54"/>
      <c r="H9" s="54"/>
      <c r="I9" s="54"/>
      <c r="J9" s="54"/>
    </row>
    <row r="10" spans="1:10" x14ac:dyDescent="0.2">
      <c r="A10" s="64" t="s">
        <v>226</v>
      </c>
      <c r="B10" s="65">
        <v>1178</v>
      </c>
      <c r="C10" s="63" t="s">
        <v>227</v>
      </c>
    </row>
    <row r="11" spans="1:10" x14ac:dyDescent="0.2">
      <c r="A11" s="66" t="s">
        <v>228</v>
      </c>
      <c r="B11" s="67">
        <v>100</v>
      </c>
      <c r="C11" s="63"/>
    </row>
    <row r="12" spans="1:10" x14ac:dyDescent="0.2">
      <c r="A12" s="66" t="s">
        <v>229</v>
      </c>
      <c r="B12" s="100">
        <f>配方计算!B5</f>
        <v>50</v>
      </c>
      <c r="C12" s="63" t="s">
        <v>279</v>
      </c>
    </row>
    <row r="13" spans="1:10" x14ac:dyDescent="0.2">
      <c r="A13" s="66" t="s">
        <v>230</v>
      </c>
      <c r="B13" s="68">
        <f>B11*1000/B12</f>
        <v>2000</v>
      </c>
      <c r="C13" s="63" t="s">
        <v>252</v>
      </c>
    </row>
    <row r="14" spans="1:10" x14ac:dyDescent="0.2">
      <c r="A14" s="66" t="s">
        <v>280</v>
      </c>
      <c r="B14" s="98">
        <f>配方计算!B5</f>
        <v>50</v>
      </c>
      <c r="C14" s="63" t="s">
        <v>281</v>
      </c>
    </row>
    <row r="15" spans="1:10" x14ac:dyDescent="0.2">
      <c r="A15" s="66" t="s">
        <v>198</v>
      </c>
      <c r="B15" s="69">
        <f>配方计算!E4</f>
        <v>12000</v>
      </c>
      <c r="C15" s="63" t="s">
        <v>231</v>
      </c>
    </row>
    <row r="16" spans="1:10" x14ac:dyDescent="0.2">
      <c r="A16" s="70" t="s">
        <v>199</v>
      </c>
      <c r="B16" s="71">
        <v>785.33</v>
      </c>
      <c r="C16" s="63" t="s">
        <v>232</v>
      </c>
    </row>
    <row r="17" spans="1:10" x14ac:dyDescent="0.2">
      <c r="A17" s="70" t="s">
        <v>295</v>
      </c>
      <c r="B17" s="101">
        <v>0.1</v>
      </c>
      <c r="C17" s="63" t="s">
        <v>296</v>
      </c>
    </row>
    <row r="18" spans="1:10" x14ac:dyDescent="0.2">
      <c r="A18" s="54" t="s">
        <v>233</v>
      </c>
      <c r="B18" s="54"/>
      <c r="C18" s="54"/>
      <c r="D18" s="54"/>
      <c r="E18" s="54"/>
      <c r="F18" s="54"/>
      <c r="G18" s="54"/>
      <c r="H18" s="54"/>
      <c r="I18" s="54"/>
      <c r="J18" s="54"/>
    </row>
    <row r="19" spans="1:10" ht="51" x14ac:dyDescent="0.2">
      <c r="A19" s="72" t="s">
        <v>234</v>
      </c>
      <c r="B19" s="72" t="s">
        <v>235</v>
      </c>
      <c r="C19" s="72" t="s">
        <v>236</v>
      </c>
      <c r="D19" s="72" t="s">
        <v>237</v>
      </c>
      <c r="E19" s="72" t="s">
        <v>283</v>
      </c>
      <c r="F19" s="72" t="s">
        <v>282</v>
      </c>
      <c r="G19" s="72" t="s">
        <v>238</v>
      </c>
    </row>
    <row r="20" spans="1:10" x14ac:dyDescent="0.2">
      <c r="A20" t="s">
        <v>239</v>
      </c>
      <c r="B20" s="73">
        <v>96</v>
      </c>
      <c r="C20" s="58">
        <f>B20/96</f>
        <v>1</v>
      </c>
      <c r="D20" s="45">
        <f>B20*$A$6</f>
        <v>2.9385198921004947</v>
      </c>
      <c r="E20" s="52">
        <f>ROUNDUP(B20/$B$13,0)</f>
        <v>1</v>
      </c>
      <c r="F20" s="74">
        <f>B20*$C$6</f>
        <v>58.22399999999999</v>
      </c>
      <c r="G20" s="79">
        <f>F20-D20</f>
        <v>55.285480107899495</v>
      </c>
    </row>
    <row r="21" spans="1:10" x14ac:dyDescent="0.2">
      <c r="A21" t="s">
        <v>240</v>
      </c>
      <c r="B21" s="73">
        <v>1000</v>
      </c>
      <c r="C21" s="58">
        <f>B21/96</f>
        <v>10.416666666666666</v>
      </c>
      <c r="D21" s="45">
        <f>B21*$A$6</f>
        <v>30.60958220938015</v>
      </c>
      <c r="E21" s="52">
        <f>ROUNDUP(B21/$B$13,0)</f>
        <v>1</v>
      </c>
      <c r="F21" s="74">
        <f t="shared" ref="F21:F23" si="0">B21*$C$6</f>
        <v>606.49999999999989</v>
      </c>
      <c r="G21" s="79">
        <f>F21-D21</f>
        <v>575.89041779061972</v>
      </c>
    </row>
    <row r="22" spans="1:10" x14ac:dyDescent="0.2">
      <c r="A22" t="s">
        <v>241</v>
      </c>
      <c r="B22" s="73">
        <v>10000</v>
      </c>
      <c r="C22" s="58">
        <f>B22/96</f>
        <v>104.16666666666667</v>
      </c>
      <c r="D22" s="45">
        <f>B22*$A$6</f>
        <v>306.09582209380153</v>
      </c>
      <c r="E22" s="52">
        <f>ROUNDUP(B22/$B$13,0)</f>
        <v>5</v>
      </c>
      <c r="F22" s="74">
        <f t="shared" si="0"/>
        <v>6064.9999999999991</v>
      </c>
      <c r="G22" s="79">
        <f>F22-D22</f>
        <v>5758.9041779061972</v>
      </c>
    </row>
    <row r="23" spans="1:10" x14ac:dyDescent="0.2">
      <c r="A23" s="75" t="str">
        <f>"本批（"&amp;配方计算!B4&amp;" mL GLB）"</f>
        <v>本批（100 mL GLB）</v>
      </c>
      <c r="B23" s="76">
        <f>B15</f>
        <v>12000</v>
      </c>
      <c r="C23" s="77">
        <f>B23/96</f>
        <v>125</v>
      </c>
      <c r="D23" s="78">
        <f>B23*$A$6</f>
        <v>367.3149865125618</v>
      </c>
      <c r="E23" s="76">
        <f>ROUNDUP(B23/$B$13,0)</f>
        <v>6</v>
      </c>
      <c r="F23" s="74">
        <f t="shared" si="0"/>
        <v>7277.9999999999991</v>
      </c>
      <c r="G23" s="80">
        <f>F23-D23</f>
        <v>6910.6850134874376</v>
      </c>
    </row>
    <row r="24" spans="1:10" x14ac:dyDescent="0.2">
      <c r="A24" s="81" t="s">
        <v>284</v>
      </c>
    </row>
    <row r="26" spans="1:10" x14ac:dyDescent="0.2">
      <c r="A26" s="54" t="s">
        <v>242</v>
      </c>
      <c r="B26" s="54"/>
      <c r="C26" s="54"/>
      <c r="D26" s="54"/>
      <c r="E26" s="54"/>
      <c r="F26" s="54"/>
      <c r="G26" s="54"/>
      <c r="H26" s="54"/>
      <c r="I26" s="54"/>
      <c r="J26" s="54"/>
    </row>
    <row r="27" spans="1:10" ht="34" x14ac:dyDescent="0.2">
      <c r="A27" s="72" t="s">
        <v>58</v>
      </c>
      <c r="B27" s="72" t="s">
        <v>243</v>
      </c>
      <c r="C27" s="72" t="s">
        <v>244</v>
      </c>
      <c r="D27" s="72" t="s">
        <v>151</v>
      </c>
      <c r="E27" s="72" t="s">
        <v>200</v>
      </c>
      <c r="F27" s="72" t="s">
        <v>201</v>
      </c>
      <c r="G27" s="72" t="s">
        <v>59</v>
      </c>
      <c r="H27" s="72" t="s">
        <v>202</v>
      </c>
      <c r="I27" s="72" t="s">
        <v>203</v>
      </c>
      <c r="J27" s="72" t="s">
        <v>204</v>
      </c>
    </row>
    <row r="28" spans="1:10" x14ac:dyDescent="0.2">
      <c r="A28" t="s">
        <v>205</v>
      </c>
      <c r="B28" s="50" t="str">
        <f>材料清单!G5</f>
        <v>PAE2661</v>
      </c>
      <c r="C28" s="59" t="str">
        <f>材料清单!K5&amp;" "&amp;材料清单!L5</f>
        <v>100 mL</v>
      </c>
      <c r="D28" s="55">
        <f>材料清单!O5</f>
        <v>100.62</v>
      </c>
      <c r="E28" s="56" cm="1">
        <f t="array" ref="E28">D28/(材料清单!K5*_xlfn.SWITCH(材料清单!L5,"kg",1000000,"g",1000,"mg",1,"mL",1))</f>
        <v>1.0062</v>
      </c>
      <c r="F28" s="51">
        <f>配方计算!B4</f>
        <v>100</v>
      </c>
      <c r="G28" s="82" t="str">
        <f>IF(材料清单!L5="mL","mL","mg")</f>
        <v>mL</v>
      </c>
      <c r="H28" s="45">
        <f t="shared" ref="H28:H36" si="1">E28*F28</f>
        <v>100.62</v>
      </c>
      <c r="I28" s="56">
        <f t="shared" ref="I28:I36" si="2">H28/$B$15</f>
        <v>8.3850000000000001E-3</v>
      </c>
      <c r="J28" s="57">
        <f t="shared" ref="J28:J36" si="3">H28/$H$38</f>
        <v>0.27393382708211084</v>
      </c>
    </row>
    <row r="29" spans="1:10" x14ac:dyDescent="0.2">
      <c r="A29" t="s">
        <v>20</v>
      </c>
      <c r="B29" s="50" t="str">
        <f>材料清单!G7</f>
        <v>TS32783-1000</v>
      </c>
      <c r="C29" s="59" t="str">
        <f>材料清单!K7&amp;" "&amp;材料清单!L7</f>
        <v>100 g</v>
      </c>
      <c r="D29" s="55">
        <f>材料清单!O7</f>
        <v>102.75</v>
      </c>
      <c r="E29" s="56" cm="1">
        <f t="array" ref="E29">D29/(材料清单!K7*_xlfn.SWITCH(材料清单!L7,"kg",1000000,"g",1000,"mg",1,"mL",1))</f>
        <v>1.0275E-3</v>
      </c>
      <c r="F29" s="51">
        <f>配方计算!E12</f>
        <v>1970.8700000000003</v>
      </c>
      <c r="G29" s="82" t="str">
        <f>IF(材料清单!L7="mL","mL","mg")</f>
        <v>mg</v>
      </c>
      <c r="H29" s="45">
        <f t="shared" si="1"/>
        <v>2.0250689250000002</v>
      </c>
      <c r="I29" s="56">
        <f t="shared" si="2"/>
        <v>1.6875574375000002E-4</v>
      </c>
      <c r="J29" s="57">
        <f t="shared" si="3"/>
        <v>5.5131671708438298E-3</v>
      </c>
    </row>
    <row r="30" spans="1:10" x14ac:dyDescent="0.2">
      <c r="A30" t="s">
        <v>206</v>
      </c>
      <c r="B30" s="50" t="str">
        <f>材料清单!G8</f>
        <v>TS44804-5000</v>
      </c>
      <c r="C30" s="59" t="str">
        <f>材料清单!K8&amp;" "&amp;材料清单!L8</f>
        <v>500 g</v>
      </c>
      <c r="D30" s="55">
        <f>材料清单!O8</f>
        <v>73.510000000000005</v>
      </c>
      <c r="E30" s="56" cm="1">
        <f t="array" ref="E30">D30/(材料清单!K8*_xlfn.SWITCH(材料清单!L8,"kg",1000000,"g",1000,"mg",1,"mL",1))</f>
        <v>1.4702000000000001E-4</v>
      </c>
      <c r="F30" s="51">
        <f>配方计算!E13</f>
        <v>285.805025</v>
      </c>
      <c r="G30" s="82" t="str">
        <f>IF(材料清单!L8="mL","mL","mg")</f>
        <v>mg</v>
      </c>
      <c r="H30" s="45">
        <f t="shared" si="1"/>
        <v>4.2019054775500005E-2</v>
      </c>
      <c r="I30" s="56">
        <f t="shared" si="2"/>
        <v>3.5015878979583336E-6</v>
      </c>
      <c r="J30" s="57">
        <f t="shared" si="3"/>
        <v>1.1439515488993801E-4</v>
      </c>
    </row>
    <row r="31" spans="1:10" x14ac:dyDescent="0.2">
      <c r="A31" t="s">
        <v>70</v>
      </c>
      <c r="B31" s="50" t="str">
        <f>材料清单!G9</f>
        <v>AAAA14491-0B</v>
      </c>
      <c r="C31" s="59" t="str">
        <f>材料清单!K9&amp;" "&amp;材料清单!L9</f>
        <v>1 kg</v>
      </c>
      <c r="D31" s="55">
        <f>材料清单!O9</f>
        <v>72.34</v>
      </c>
      <c r="E31" s="56" cm="1">
        <f t="array" ref="E31">D31/(材料清单!K9*_xlfn.SWITCH(材料清单!L9,"kg",1000000,"g",1000,"mg",1,"mL",1))</f>
        <v>7.2340000000000002E-5</v>
      </c>
      <c r="F31" s="51">
        <f>配方计算!E14</f>
        <v>361.94119500000005</v>
      </c>
      <c r="G31" s="82" t="str">
        <f>IF(材料清单!L9="mL","mL","mg")</f>
        <v>mg</v>
      </c>
      <c r="H31" s="45">
        <f t="shared" si="1"/>
        <v>2.6182826046300005E-2</v>
      </c>
      <c r="I31" s="56">
        <f t="shared" si="2"/>
        <v>2.1819021705250006E-6</v>
      </c>
      <c r="J31" s="57">
        <f t="shared" si="3"/>
        <v>7.1281671066270461E-5</v>
      </c>
    </row>
    <row r="32" spans="1:10" x14ac:dyDescent="0.2">
      <c r="A32" t="s">
        <v>71</v>
      </c>
      <c r="B32" s="50" t="str">
        <f>材料清单!G10</f>
        <v>TS32720-1000</v>
      </c>
      <c r="C32" s="59" t="str">
        <f>材料清单!K10&amp;" "&amp;材料清单!L10</f>
        <v>100 g</v>
      </c>
      <c r="D32" s="55">
        <f>材料清单!O10</f>
        <v>66.400000000000006</v>
      </c>
      <c r="E32" s="56" cm="1">
        <f t="array" ref="E32">D32/(材料清单!K10*_xlfn.SWITCH(材料清单!L10,"kg",1000000,"g",1000,"mg",1,"mL",1))</f>
        <v>6.6400000000000009E-4</v>
      </c>
      <c r="F32" s="51">
        <f>配方计算!E15</f>
        <v>20.473200000000006</v>
      </c>
      <c r="G32" s="82" t="str">
        <f>IF(材料清单!L10="mL","mL","mg")</f>
        <v>mg</v>
      </c>
      <c r="H32" s="45">
        <f t="shared" si="1"/>
        <v>1.3594204800000006E-2</v>
      </c>
      <c r="I32" s="56">
        <f t="shared" si="2"/>
        <v>1.1328504000000005E-6</v>
      </c>
      <c r="J32" s="57">
        <f t="shared" si="3"/>
        <v>3.7009665543649405E-5</v>
      </c>
    </row>
    <row r="33" spans="1:10" x14ac:dyDescent="0.2">
      <c r="A33" t="s">
        <v>215</v>
      </c>
      <c r="B33" s="50" t="str">
        <f>材料清单!G12</f>
        <v>A587635</v>
      </c>
      <c r="C33" s="59" t="str">
        <f>材料清单!K12&amp;" "&amp;材料清单!L12</f>
        <v>25 g</v>
      </c>
      <c r="D33" s="55">
        <f>材料清单!O12</f>
        <v>31.62</v>
      </c>
      <c r="E33" s="56" cm="1">
        <f t="array" ref="E33">D33/(材料清单!K12*_xlfn.SWITCH(材料清单!L12,"kg",1000000,"g",1000,"mg",1,"mL",1))</f>
        <v>1.2648E-3</v>
      </c>
      <c r="F33" s="51">
        <f>配方计算!E16</f>
        <v>2825.0887500000003</v>
      </c>
      <c r="G33" s="82" t="str">
        <f>IF(材料清单!L12="mL","mL","mg")</f>
        <v>mg</v>
      </c>
      <c r="H33" s="45">
        <f t="shared" si="1"/>
        <v>3.5731722510000004</v>
      </c>
      <c r="I33" s="56">
        <f t="shared" si="2"/>
        <v>2.9776435425000005E-4</v>
      </c>
      <c r="J33" s="57">
        <f t="shared" si="3"/>
        <v>9.7278150421390465E-3</v>
      </c>
    </row>
    <row r="34" spans="1:10" x14ac:dyDescent="0.2">
      <c r="A34" t="s">
        <v>196</v>
      </c>
      <c r="B34" s="50" t="str">
        <f>材料清单!G14</f>
        <v>A148168</v>
      </c>
      <c r="C34" s="59" t="str">
        <f>材料清单!K14&amp;" "&amp;材料清单!L14</f>
        <v>1 g</v>
      </c>
      <c r="D34" s="55">
        <f>材料清单!O14</f>
        <v>343</v>
      </c>
      <c r="E34" s="56" cm="1">
        <f t="array" ref="E34">D34/(材料清单!K14*_xlfn.SWITCH(材料清单!L14,"kg",1000000,"g",1000,"mg",1,"mL",1))</f>
        <v>0.34300000000000003</v>
      </c>
      <c r="F34" s="51">
        <f>配方计算!E17</f>
        <v>113.97820500000002</v>
      </c>
      <c r="G34" s="82" t="str">
        <f>IF(材料清单!L14="mL","mL","mg")</f>
        <v>mg</v>
      </c>
      <c r="H34" s="45">
        <f t="shared" si="1"/>
        <v>39.094524315000008</v>
      </c>
      <c r="I34" s="56">
        <f t="shared" si="2"/>
        <v>3.2578770262500006E-3</v>
      </c>
      <c r="J34" s="57">
        <f t="shared" si="3"/>
        <v>0.10643324054425155</v>
      </c>
    </row>
    <row r="35" spans="1:10" x14ac:dyDescent="0.2">
      <c r="A35" t="s">
        <v>193</v>
      </c>
      <c r="B35" s="50" t="str">
        <f>材料清单!G15</f>
        <v>80050-122</v>
      </c>
      <c r="C35" s="59" t="str">
        <f>材料清单!K15&amp;" "&amp;材料清单!L15</f>
        <v>5 g</v>
      </c>
      <c r="D35" s="55">
        <f>材料清单!O15</f>
        <v>109.25</v>
      </c>
      <c r="E35" s="56" cm="1">
        <f t="array" ref="E35">D35/(材料清单!K15*_xlfn.SWITCH(材料清单!L15,"kg",1000000,"g",1000,"mg",1,"mL",1))</f>
        <v>2.1850000000000001E-2</v>
      </c>
      <c r="F35" s="51">
        <f>配方计算!E18</f>
        <v>160.65731000000002</v>
      </c>
      <c r="G35" s="82" t="str">
        <f>IF(材料清单!L15="mL","mL","mg")</f>
        <v>mg</v>
      </c>
      <c r="H35" s="45">
        <f t="shared" si="1"/>
        <v>3.5103622235000009</v>
      </c>
      <c r="I35" s="56">
        <f t="shared" si="2"/>
        <v>2.9253018529166677E-4</v>
      </c>
      <c r="J35" s="57">
        <f t="shared" si="3"/>
        <v>9.5568173159195323E-3</v>
      </c>
    </row>
    <row r="36" spans="1:10" x14ac:dyDescent="0.2">
      <c r="A36" t="s">
        <v>174</v>
      </c>
      <c r="B36" s="50" t="str">
        <f>材料清单!G17</f>
        <v>77567-368</v>
      </c>
      <c r="C36" s="59" t="str">
        <f>材料清单!K17&amp;" "&amp;材料清单!L17</f>
        <v>5 g</v>
      </c>
      <c r="D36" s="55">
        <f>材料清单!O17</f>
        <v>468.31</v>
      </c>
      <c r="E36" s="56" cm="1">
        <f t="array" ref="E36">D36/(材料清单!K17*_xlfn.SWITCH(材料清单!L17,"kg",1000000,"g",1000,"mg",1,"mL",1))</f>
        <v>9.3661999999999995E-2</v>
      </c>
      <c r="F36" s="51">
        <f>配方计算!F27</f>
        <v>89.79161999999998</v>
      </c>
      <c r="G36" s="82" t="str">
        <f>IF(材料清单!L17="mL","mL","mg")</f>
        <v>mg</v>
      </c>
      <c r="H36" s="45">
        <f t="shared" si="1"/>
        <v>8.4100627124399985</v>
      </c>
      <c r="I36" s="56">
        <f t="shared" si="2"/>
        <v>7.0083855936999982E-4</v>
      </c>
      <c r="J36" s="57">
        <f t="shared" si="3"/>
        <v>2.2896051131179155E-2</v>
      </c>
    </row>
    <row r="37" spans="1:10" x14ac:dyDescent="0.2">
      <c r="A37" t="s">
        <v>289</v>
      </c>
      <c r="B37" s="50" t="str">
        <f>材料清单!G22</f>
        <v>（待填）</v>
      </c>
      <c r="C37" s="59" t="str">
        <f>材料清单!K22&amp;" "&amp;材料清单!L22</f>
        <v>50 mg</v>
      </c>
      <c r="D37" s="55">
        <f>材料清单!O22</f>
        <v>8750</v>
      </c>
      <c r="E37" s="56" cm="1">
        <f t="array" ref="E37">D37/(材料清单!K22*_xlfn.SWITCH(材料清单!L22,"kg",1000000,"g",1000,"mg",1,"mL",1))</f>
        <v>175</v>
      </c>
      <c r="F37" s="102">
        <f>$B$15*$B$17/1000</f>
        <v>1.2</v>
      </c>
      <c r="G37" s="82" t="str">
        <f>IF(材料清单!L22="mL","mL","mg")</f>
        <v>mg</v>
      </c>
      <c r="H37" s="45">
        <f>E37*F37</f>
        <v>210</v>
      </c>
      <c r="I37" s="56">
        <f>H37/$B$15</f>
        <v>1.7500000000000002E-2</v>
      </c>
      <c r="J37" s="57">
        <f>H37/$H$38</f>
        <v>0.57171639522205608</v>
      </c>
    </row>
    <row r="38" spans="1:10" x14ac:dyDescent="0.2">
      <c r="A38" s="83" t="s">
        <v>207</v>
      </c>
      <c r="B38" s="83"/>
      <c r="C38" s="83"/>
      <c r="D38" s="83"/>
      <c r="E38" s="83"/>
      <c r="F38" s="83"/>
      <c r="G38" s="83"/>
      <c r="H38" s="84">
        <f>SUM(H28:H37)</f>
        <v>367.31498651256186</v>
      </c>
      <c r="I38" s="85">
        <f>SUM(I28:I37)</f>
        <v>3.0609582209380152E-2</v>
      </c>
      <c r="J38" s="86">
        <f>SUM(J28:J37)</f>
        <v>0.99999999999999978</v>
      </c>
    </row>
    <row r="40" spans="1:10" x14ac:dyDescent="0.2">
      <c r="A40" s="54" t="s">
        <v>245</v>
      </c>
      <c r="B40" s="54"/>
      <c r="C40" s="54"/>
      <c r="D40" s="54"/>
      <c r="E40" s="54"/>
      <c r="F40" s="54"/>
      <c r="G40" s="54"/>
      <c r="H40" s="54"/>
      <c r="I40" s="54"/>
      <c r="J40" s="54"/>
    </row>
    <row r="41" spans="1:10" ht="17" x14ac:dyDescent="0.2">
      <c r="A41" s="87" t="s">
        <v>246</v>
      </c>
      <c r="B41" s="87" t="s">
        <v>247</v>
      </c>
      <c r="C41" s="87" t="s">
        <v>248</v>
      </c>
      <c r="D41" s="87" t="s">
        <v>202</v>
      </c>
      <c r="E41" s="87" t="s">
        <v>203</v>
      </c>
    </row>
    <row r="42" spans="1:10" x14ac:dyDescent="0.2">
      <c r="A42" t="s">
        <v>249</v>
      </c>
      <c r="B42" s="52">
        <f>F34</f>
        <v>113.97820500000002</v>
      </c>
      <c r="C42" s="88">
        <f>E34</f>
        <v>0.34300000000000003</v>
      </c>
      <c r="D42" s="45">
        <f>H34</f>
        <v>39.094524315000008</v>
      </c>
      <c r="E42" s="56">
        <f>D42/$B$15</f>
        <v>3.2578770262500006E-3</v>
      </c>
    </row>
    <row r="43" spans="1:10" x14ac:dyDescent="0.2">
      <c r="A43" t="s">
        <v>250</v>
      </c>
      <c r="B43" s="52">
        <f>配方计算!B17*配方计算!B10*B16/1000</f>
        <v>116.62150500000003</v>
      </c>
      <c r="C43" s="89" cm="1">
        <f t="array" ref="C43">材料清单!O13/(材料清单!K13*_xlfn.SWITCH(材料清单!L13,"kg",1000000,"g",1000,"mg",1))</f>
        <v>3.3110000000000004</v>
      </c>
      <c r="D43" s="45">
        <f>B43*C43</f>
        <v>386.13380305500016</v>
      </c>
      <c r="E43" s="56">
        <f>D43/$B$15</f>
        <v>3.2177816921250012E-2</v>
      </c>
    </row>
    <row r="44" spans="1:10" x14ac:dyDescent="0.2">
      <c r="A44" s="90" t="s">
        <v>251</v>
      </c>
      <c r="B44" s="90"/>
      <c r="C44" s="90"/>
      <c r="D44" s="91">
        <f>D43-D42</f>
        <v>347.03927874000016</v>
      </c>
      <c r="E44" s="92">
        <f>E43-E42</f>
        <v>2.891993989500001E-2</v>
      </c>
    </row>
    <row r="46" spans="1:10" x14ac:dyDescent="0.2">
      <c r="A46" s="46" t="s">
        <v>208</v>
      </c>
      <c r="B46" s="93">
        <f>材料清单!P23</f>
        <v>10976.5</v>
      </c>
    </row>
  </sheetData>
  <mergeCells count="12">
    <mergeCell ref="A5:B5"/>
    <mergeCell ref="A6:B6"/>
    <mergeCell ref="A7:B7"/>
    <mergeCell ref="C5:D5"/>
    <mergeCell ref="C6:D6"/>
    <mergeCell ref="C7:D7"/>
    <mergeCell ref="E5:F5"/>
    <mergeCell ref="E6:F6"/>
    <mergeCell ref="E7:F7"/>
    <mergeCell ref="G5:H5"/>
    <mergeCell ref="G6:H6"/>
    <mergeCell ref="G7:H7"/>
  </mergeCells>
  <conditionalFormatting sqref="J28:J37">
    <cfRule type="dataBar" priority="1">
      <dataBar>
        <cfvo type="min"/>
        <cfvo type="max"/>
        <color rgb="FF5B9BD5"/>
      </dataBar>
      <extLst>
        <ext xmlns:x14="http://schemas.microsoft.com/office/spreadsheetml/2009/9/main" uri="{B025F937-C7B1-47D3-B67F-A62EFF666E3E}">
          <x14:id>{D7968B53-8EAF-4447-AAA1-720D4FAC2C81}</x14:id>
        </ext>
      </extLst>
    </cfRule>
  </conditionalFormatting>
  <pageMargins left="0.7" right="0.7" top="0.75" bottom="0.75" header="0.3" footer="0.3"/>
  <drawing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7968B53-8EAF-4447-AAA1-720D4FAC2C81}">
            <x14:dataBar minLength="0" maxLength="100" gradient="0" direction="leftToRight" negativeBarColorSameAsPositive="1" axisPosition="none">
              <x14:cfvo type="min"/>
              <x14:cfvo type="max"/>
            </x14:dataBar>
          </x14:cfRule>
          <xm:sqref>J28:J37</xm:sqref>
        </x14:conditionalFormatting>
      </x14:conditionalFormattings>
    </ext>
  </extLst>
</worksheet>
</file>

<file path=docMetadata/LabelInfo.xml><?xml version="1.0" encoding="utf-8"?>
<clbl:labelList xmlns:clbl="http://schemas.microsoft.com/office/2020/mipLabelMetadata">
  <clbl:label id="{fcdc7058-dd48-4a81-90b6-281159ae72e0}" enabled="0" method="" siteId="{fcdc7058-dd48-4a81-90b6-281159ae72e0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材料清单</vt:lpstr>
      <vt:lpstr>配方计算</vt:lpstr>
      <vt:lpstr>配制步骤与使用</vt:lpstr>
      <vt:lpstr>仪器耗材</vt:lpstr>
      <vt:lpstr>成本核算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York Xu</dc:creator>
  <cp:lastModifiedBy>Xu, Yue, PhD</cp:lastModifiedBy>
  <dcterms:created xsi:type="dcterms:W3CDTF">2026-09-23T15:11:03Z</dcterms:created>
  <dcterms:modified xsi:type="dcterms:W3CDTF">2026-09-23T21:30:32Z</dcterms:modified>
</cp:coreProperties>
</file>